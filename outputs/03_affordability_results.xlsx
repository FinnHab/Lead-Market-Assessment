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863" firstSheet="0" activeTab="5" autoFilterDateGrouping="1"/>
  </bookViews>
  <sheets>
    <sheet xmlns:r="http://schemas.openxmlformats.org/officeDocument/2006/relationships" name="1. Inputs" sheetId="1" state="visible" r:id="rId1"/>
    <sheet xmlns:r="http://schemas.openxmlformats.org/officeDocument/2006/relationships" name="2. Green Premium Calcs" sheetId="2" state="visible" r:id="rId2"/>
    <sheet xmlns:r="http://schemas.openxmlformats.org/officeDocument/2006/relationships" name="3. LCOA Literature Review" sheetId="3" state="visible" r:id="rId3"/>
    <sheet xmlns:r="http://schemas.openxmlformats.org/officeDocument/2006/relationships" name="4. LCOA Summary" sheetId="4" state="visible" r:id="rId4"/>
    <sheet xmlns:r="http://schemas.openxmlformats.org/officeDocument/2006/relationships" name="5. Gas Price Sensitivity" sheetId="5" state="visible" r:id="rId5"/>
    <sheet xmlns:r="http://schemas.openxmlformats.org/officeDocument/2006/relationships" name="6. Sources &amp; Method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000"/>
    <numFmt numFmtId="165" formatCode="0.000"/>
    <numFmt numFmtId="166" formatCode="0.000000"/>
    <numFmt numFmtId="167" formatCode="0.0"/>
    <numFmt numFmtId="168" formatCode="#,##0.0"/>
    <numFmt numFmtId="169" formatCode="0.000%"/>
    <numFmt numFmtId="170" formatCode="\€#,##0.0000"/>
    <numFmt numFmtId="171" formatCode="\+0.00%;\-0.00%"/>
    <numFmt numFmtId="172" formatCode="\+0.000%;\-0.000%"/>
    <numFmt numFmtId="173" formatCode="\+0.0%"/>
    <numFmt numFmtId="174" formatCode="\+0.0%;\-0.0%"/>
    <numFmt numFmtId="175" formatCode="\$#,##0"/>
    <numFmt numFmtId="176" formatCode="\€#,##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Calibri"/>
      <b val="1"/>
      <color rgb="FFFFFFFF"/>
      <sz val="11"/>
    </font>
    <font>
      <name val="Calibri"/>
      <i val="1"/>
      <color rgb="FF595959"/>
      <sz val="10"/>
    </font>
    <font>
      <name val="Calibri"/>
      <color rgb="FF000000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wrapText="1"/>
    </xf>
    <xf numFmtId="166" fontId="4" fillId="0" borderId="1" pivotButton="0" quotePrefix="0" xfId="0"/>
    <xf numFmtId="167" fontId="4" fillId="0" borderId="1" pivotButton="0" quotePrefix="0" xfId="0"/>
    <xf numFmtId="10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170" fontId="4" fillId="0" borderId="1" pivotButton="0" quotePrefix="0" xfId="0"/>
    <xf numFmtId="0" fontId="5" fillId="0" borderId="1" pivotButton="0" quotePrefix="0" xfId="0"/>
    <xf numFmtId="171" fontId="4" fillId="0" borderId="1" pivotButton="0" quotePrefix="0" xfId="0"/>
    <xf numFmtId="172" fontId="4" fillId="0" borderId="1" pivotButton="0" quotePrefix="0" xfId="0"/>
    <xf numFmtId="173" fontId="5" fillId="0" borderId="1" pivotButton="0" quotePrefix="0" xfId="0"/>
    <xf numFmtId="174" fontId="5" fillId="0" borderId="1" pivotButton="0" quotePrefix="0" xfId="0"/>
    <xf numFmtId="173" fontId="4" fillId="0" borderId="1" pivotButton="0" quotePrefix="0" xfId="0"/>
    <xf numFmtId="169" fontId="3" fillId="0" borderId="1" pivotButton="0" quotePrefix="0" xfId="0"/>
    <xf numFmtId="0" fontId="1" fillId="0" borderId="1" pivotButton="0" quotePrefix="0" xfId="0"/>
    <xf numFmtId="175" fontId="4" fillId="0" borderId="1" pivotButton="0" quotePrefix="0" xfId="0"/>
    <xf numFmtId="175" fontId="2" fillId="2" borderId="1" applyAlignment="1" pivotButton="0" quotePrefix="0" xfId="0">
      <alignment horizontal="left" vertical="center"/>
    </xf>
    <xf numFmtId="173" fontId="2" fillId="2" borderId="1" applyAlignment="1" pivotButton="0" quotePrefix="0" xfId="0">
      <alignment horizontal="left" vertical="center"/>
    </xf>
    <xf numFmtId="176" fontId="4" fillId="0" borderId="1" pivotButton="0" quotePrefix="0" xfId="0"/>
    <xf numFmtId="174" fontId="4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topLeftCell="A16" workbookViewId="0">
      <selection activeCell="A1" sqref="A1:H1"/>
    </sheetView>
  </sheetViews>
  <sheetFormatPr baseColWidth="10" defaultColWidth="9.06640625" defaultRowHeight="14.25"/>
  <cols>
    <col width="35" customWidth="1" min="1" max="2"/>
    <col width="21" customWidth="1" min="3" max="3"/>
    <col width="22" customWidth="1" min="4" max="4"/>
    <col width="35" customWidth="1" min="5" max="6"/>
    <col width="20" customWidth="1" min="7" max="7"/>
    <col width="35" customWidth="1" min="8" max="8"/>
  </cols>
  <sheetData>
    <row r="1">
      <c r="A1" s="31" t="inlineStr">
        <is>
          <t>GREEN PREMIUM MODEL – INPUT PARAMETERS</t>
        </is>
      </c>
      <c r="B1" s="37" t="n"/>
      <c r="C1" s="37" t="n"/>
      <c r="D1" s="37" t="n"/>
      <c r="E1" s="37" t="n"/>
      <c r="F1" s="37" t="n"/>
      <c r="G1" s="37" t="n"/>
      <c r="H1" s="38" t="n"/>
    </row>
    <row r="2">
      <c r="A2" s="33" t="inlineStr">
        <is>
          <t>EU-27 2023 | EU-LCOA median scenarios | Differential approach | incl. 2025 EU ETS</t>
        </is>
      </c>
      <c r="B2" s="37" t="n"/>
      <c r="C2" s="37" t="n"/>
      <c r="D2" s="37" t="n"/>
      <c r="E2" s="37" t="n"/>
      <c r="F2" s="37" t="n"/>
      <c r="G2" s="37" t="n"/>
      <c r="H2" s="38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</row>
    <row r="4">
      <c r="A4" s="31" t="inlineStr">
        <is>
          <t>A | NITROGEN FERTILIZER BASELINE</t>
        </is>
      </c>
      <c r="B4" s="37" t="n"/>
      <c r="C4" s="37" t="n"/>
      <c r="D4" s="37" t="n"/>
      <c r="E4" s="37" t="n"/>
      <c r="F4" s="37" t="n"/>
      <c r="G4" s="37" t="n"/>
      <c r="H4" s="38" t="n"/>
    </row>
    <row r="5">
      <c r="A5" s="2" t="inlineStr">
        <is>
          <t>Parameter</t>
        </is>
      </c>
      <c r="B5" s="2" t="inlineStr">
        <is>
          <t>Value</t>
        </is>
      </c>
      <c r="C5" s="2" t="inlineStr">
        <is>
          <t>Unit</t>
        </is>
      </c>
      <c r="D5" s="2" t="inlineStr">
        <is>
          <t>Period</t>
        </is>
      </c>
      <c r="E5" s="2" t="inlineStr">
        <is>
          <t>Source</t>
        </is>
      </c>
      <c r="F5" s="34" t="n"/>
      <c r="G5" s="34" t="n"/>
      <c r="H5" s="34" t="n"/>
    </row>
    <row r="6">
      <c r="A6" s="3" t="inlineStr">
        <is>
          <t>5-Year Avg N-Fertilizer Price EU</t>
        </is>
      </c>
      <c r="B6" s="4" t="n">
        <v>414.54</v>
      </c>
      <c r="C6" s="3" t="inlineStr">
        <is>
          <t>€/t fertilizer</t>
        </is>
      </c>
      <c r="D6" s="3" t="inlineStr">
        <is>
          <t>2020–2024</t>
        </is>
      </c>
      <c r="E6" s="35" t="inlineStr">
        <is>
          <t>EU Agridata Fertiliser Observatory [S1]</t>
        </is>
      </c>
      <c r="F6" s="34" t="n"/>
      <c r="G6" s="34" t="n"/>
      <c r="H6" s="34" t="n"/>
    </row>
    <row r="7" ht="26.65" customHeight="1">
      <c r="A7" s="3" t="inlineStr">
        <is>
          <t>Avg N-content in EU fertilizer mix</t>
        </is>
      </c>
      <c r="B7" s="4" t="n">
        <v>0.3449</v>
      </c>
      <c r="C7" s="3" t="inlineStr">
        <is>
          <t>kg N/kg fert.</t>
        </is>
      </c>
      <c r="D7" s="3" t="inlineStr">
        <is>
          <t>–</t>
        </is>
      </c>
      <c r="E7" s="35" t="inlineStr">
        <is>
          <t>Wtd: AN 30.25% (58%), Urea 46% (27%), UAN 30% (15%) [S2]</t>
        </is>
      </c>
      <c r="F7" s="34" t="n"/>
      <c r="G7" s="34" t="n"/>
      <c r="H7" s="34" t="n"/>
    </row>
    <row r="8">
      <c r="A8" s="3" t="inlineStr">
        <is>
          <t>Baseline cost of N</t>
        </is>
      </c>
      <c r="B8" s="4" t="n">
        <v>1.2018</v>
      </c>
      <c r="C8" s="3" t="inlineStr">
        <is>
          <t>€/kg N</t>
        </is>
      </c>
      <c r="D8" s="3" t="inlineStr">
        <is>
          <t>2020–2024</t>
        </is>
      </c>
      <c r="E8" s="6" t="inlineStr">
        <is>
          <t>Price ÷ N-content</t>
        </is>
      </c>
      <c r="F8" s="34" t="n"/>
      <c r="G8" s="34" t="n"/>
      <c r="H8" s="34" t="n"/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</row>
    <row r="10">
      <c r="A10" s="31" t="inlineStr">
        <is>
          <t>B | CROP DATA &amp; NITROGEN APPLICATION (EU-27 2023)</t>
        </is>
      </c>
      <c r="B10" s="37" t="n"/>
      <c r="C10" s="37" t="n"/>
      <c r="D10" s="37" t="n"/>
      <c r="E10" s="37" t="n"/>
      <c r="F10" s="37" t="n"/>
      <c r="G10" s="37" t="n"/>
      <c r="H10" s="38" t="n"/>
    </row>
    <row r="11">
      <c r="A11" s="2" t="inlineStr">
        <is>
          <t>Crop</t>
        </is>
      </c>
      <c r="B11" s="2" t="inlineStr">
        <is>
          <t>Area (ha)</t>
        </is>
      </c>
      <c r="C11" s="2" t="inlineStr">
        <is>
          <t>Production (t)</t>
        </is>
      </c>
      <c r="D11" s="2" t="inlineStr">
        <is>
          <t>Yield (t/ha)</t>
        </is>
      </c>
      <c r="E11" s="2" t="inlineStr">
        <is>
          <t>EU Avg Price (€/t)</t>
        </is>
      </c>
      <c r="F11" s="2" t="inlineStr">
        <is>
          <t>N Applic. (kg/ha)</t>
        </is>
      </c>
      <c r="G11" s="2" t="inlineStr">
        <is>
          <t>N Cost (€/ha)</t>
        </is>
      </c>
      <c r="H11" s="2" t="inlineStr">
        <is>
          <t>Source</t>
        </is>
      </c>
    </row>
    <row r="12" ht="26.65" customHeight="1">
      <c r="A12" s="3" t="inlineStr">
        <is>
          <t>Wheat</t>
        </is>
      </c>
      <c r="B12" s="7" t="n">
        <v>24232800</v>
      </c>
      <c r="C12" s="7" t="n">
        <v>133481170</v>
      </c>
      <c r="D12" s="8" t="n">
        <v>5.508</v>
      </c>
      <c r="E12" s="9" t="n">
        <v>216.24</v>
      </c>
      <c r="F12" s="10" t="n">
        <v>98.41</v>
      </c>
      <c r="G12" s="10" t="n">
        <v>118.28882</v>
      </c>
      <c r="H12" s="35" t="inlineStr">
        <is>
          <t>Eurostat apro_cpsh1 2023; IFA 2017/18 × ADJ 0.7809 [S4][S5]</t>
        </is>
      </c>
    </row>
    <row r="13" ht="26.65" customHeight="1">
      <c r="A13" s="3" t="inlineStr">
        <is>
          <t>Barley</t>
        </is>
      </c>
      <c r="B13" s="7" t="n">
        <v>10368150</v>
      </c>
      <c r="C13" s="7" t="n">
        <v>47389510</v>
      </c>
      <c r="D13" s="8" t="n">
        <v>4.571</v>
      </c>
      <c r="E13" s="9" t="n">
        <v>219.89</v>
      </c>
      <c r="F13" s="10" t="n">
        <v>77.31</v>
      </c>
      <c r="G13" s="10" t="n">
        <v>92.92662</v>
      </c>
      <c r="H13" s="35" t="inlineStr">
        <is>
          <t>Eurostat apro_cpsh1 2023; IFA 2017/18 × ADJ 0.7809 [S4][S5]</t>
        </is>
      </c>
    </row>
    <row r="14" ht="26.65" customHeight="1">
      <c r="A14" s="3" t="inlineStr">
        <is>
          <t>Grain Maize</t>
        </is>
      </c>
      <c r="B14" s="7" t="n">
        <v>8298970</v>
      </c>
      <c r="C14" s="7" t="n">
        <v>61035300</v>
      </c>
      <c r="D14" s="8" t="n">
        <v>7.355</v>
      </c>
      <c r="E14" s="9" t="n">
        <v>206.21</v>
      </c>
      <c r="F14" s="10" t="n">
        <v>96.87</v>
      </c>
      <c r="G14" s="10" t="n">
        <v>116.43774</v>
      </c>
      <c r="H14" s="35" t="inlineStr">
        <is>
          <t>Eurostat apro_cpsh1 2023; IFA 2017/18 × ADJ 0.7809 [S4][S5]</t>
        </is>
      </c>
    </row>
    <row r="15" ht="26.65" customHeight="1">
      <c r="A15" s="3" t="inlineStr">
        <is>
          <t>Rapeseed</t>
        </is>
      </c>
      <c r="B15" s="7" t="n">
        <v>6192830</v>
      </c>
      <c r="C15" s="7" t="n">
        <v>19585220</v>
      </c>
      <c r="D15" s="8" t="n">
        <v>3.163</v>
      </c>
      <c r="E15" s="9" t="n">
        <v>431.59</v>
      </c>
      <c r="F15" s="10" t="n">
        <v>108.88</v>
      </c>
      <c r="G15" s="10" t="n">
        <v>130.87376</v>
      </c>
      <c r="H15" s="35" t="inlineStr">
        <is>
          <t>Eurostat apro_cpsh1 2023; IFA 2017/18 × ADJ 0.7809 [S4][S5]</t>
        </is>
      </c>
    </row>
    <row r="16" ht="26.65" customHeight="1">
      <c r="A16" s="3" t="inlineStr">
        <is>
          <t>Sugar Beet</t>
        </is>
      </c>
      <c r="B16" s="7" t="n">
        <v>1468070</v>
      </c>
      <c r="C16" s="7" t="n">
        <v>110253300</v>
      </c>
      <c r="D16" s="8" t="n">
        <v>75.09999999999999</v>
      </c>
      <c r="E16" s="9" t="n">
        <v>33.9</v>
      </c>
      <c r="F16" s="10" t="n">
        <v>95.15000000000001</v>
      </c>
      <c r="G16" s="10" t="n">
        <v>114.3703</v>
      </c>
      <c r="H16" s="35" t="inlineStr">
        <is>
          <t>Eurostat apro_cpsh1 2023; IFA 2017/18 × ADJ 0.7809 [S4][S5]</t>
        </is>
      </c>
    </row>
    <row r="17" ht="26.65" customHeight="1">
      <c r="A17" s="3" t="inlineStr">
        <is>
          <t>Potatoes</t>
        </is>
      </c>
      <c r="B17" s="7" t="n">
        <v>1328950</v>
      </c>
      <c r="C17" s="7" t="n">
        <v>48142050</v>
      </c>
      <c r="D17" s="8" t="n">
        <v>36.23</v>
      </c>
      <c r="E17" s="9" t="n">
        <v>327.21</v>
      </c>
      <c r="F17" s="10" t="n">
        <v>91.28</v>
      </c>
      <c r="G17" s="10" t="n">
        <v>109.71856</v>
      </c>
      <c r="H17" s="35" t="inlineStr">
        <is>
          <t>Eurostat apro_cpsh1 2023; IFA 2017/18 × ADJ 0.7809 [S4][S5]</t>
        </is>
      </c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</row>
    <row r="19">
      <c r="A19" s="31" t="inlineStr">
        <is>
          <t>C | TECHNICAL CONVERSION FACTORS</t>
        </is>
      </c>
      <c r="B19" s="37" t="n"/>
      <c r="C19" s="37" t="n"/>
      <c r="D19" s="37" t="n"/>
      <c r="E19" s="37" t="n"/>
      <c r="F19" s="37" t="n"/>
      <c r="G19" s="37" t="n"/>
      <c r="H19" s="38" t="n"/>
    </row>
    <row r="20">
      <c r="A20" s="2" t="inlineStr">
        <is>
          <t>Product</t>
        </is>
      </c>
      <c r="B20" s="2" t="inlineStr">
        <is>
          <t>Conversion</t>
        </is>
      </c>
      <c r="C20" s="2" t="inlineStr">
        <is>
          <t>Factor</t>
        </is>
      </c>
      <c r="D20" s="2" t="n"/>
      <c r="E20" s="2" t="inlineStr">
        <is>
          <t>Source</t>
        </is>
      </c>
      <c r="F20" s="34" t="n"/>
      <c r="G20" s="34" t="n"/>
      <c r="H20" s="34" t="n"/>
    </row>
    <row r="21">
      <c r="A21" s="3" t="inlineStr">
        <is>
          <t>Wheat → Flour</t>
        </is>
      </c>
      <c r="B21" s="3" t="inlineStr">
        <is>
          <t>Extraction rate</t>
        </is>
      </c>
      <c r="C21" s="8" t="n">
        <v>0.775</v>
      </c>
      <c r="D21" s="34" t="n"/>
      <c r="E21" s="35" t="inlineStr">
        <is>
          <t>FAO TCF, EU median of 6 countries [S6]</t>
        </is>
      </c>
      <c r="F21" s="34" t="n"/>
      <c r="G21" s="34" t="n"/>
      <c r="H21" s="34" t="n"/>
    </row>
    <row r="22" ht="28.5" customHeight="1">
      <c r="A22" s="3" t="inlineStr">
        <is>
          <t>Flour → Dough</t>
        </is>
      </c>
      <c r="B22" s="36" t="inlineStr">
        <is>
          <t>Dough yield (hydration 63% + salt/yeast 3.5%)</t>
        </is>
      </c>
      <c r="C22" s="8" t="n">
        <v>1.635</v>
      </c>
      <c r="D22" s="34" t="n"/>
      <c r="E22" s="35" t="inlineStr">
        <is>
          <t>Cauvain (2015), Technology of Breadmaking, 3rd ed. [S7]</t>
        </is>
      </c>
      <c r="F22" s="34" t="n"/>
      <c r="G22" s="34" t="n"/>
      <c r="H22" s="34" t="n"/>
    </row>
    <row r="23" ht="26.65" customHeight="1">
      <c r="A23" s="3" t="inlineStr">
        <is>
          <t>Dough → Bread</t>
        </is>
      </c>
      <c r="B23" s="3" t="inlineStr">
        <is>
          <t>Baking yield (12% weight loss)</t>
        </is>
      </c>
      <c r="C23" s="8" t="n">
        <v>0.88</v>
      </c>
      <c r="D23" s="34" t="n"/>
      <c r="E23" s="35" t="inlineStr">
        <is>
          <t>Purlis (2011), J. Food Engineering 104(3), 461–467 [S8]</t>
        </is>
      </c>
      <c r="F23" s="34" t="n"/>
      <c r="G23" s="34" t="n"/>
      <c r="H23" s="34" t="n"/>
    </row>
    <row r="24">
      <c r="A24" s="3" t="inlineStr">
        <is>
          <t>Wheat → Bread (net)</t>
        </is>
      </c>
      <c r="B24" s="3" t="inlineStr">
        <is>
          <t>Combined: 0.775 × 1.635 × 0.88</t>
        </is>
      </c>
      <c r="C24" s="8" t="n">
        <v>1.115</v>
      </c>
      <c r="D24" s="34" t="n"/>
      <c r="E24" s="6" t="inlineStr">
        <is>
          <t>Derived from [S6][S7][S8]</t>
        </is>
      </c>
      <c r="F24" s="34" t="n"/>
      <c r="G24" s="34" t="n"/>
      <c r="H24" s="34" t="n"/>
    </row>
    <row r="25">
      <c r="A25" s="3" t="inlineStr">
        <is>
          <t>Durum → Pasta (net)</t>
        </is>
      </c>
      <c r="B25" s="3" t="inlineStr">
        <is>
          <t>1.422 kg durum/kg pasta</t>
        </is>
      </c>
      <c r="C25" s="8" t="n">
        <v>1.422</v>
      </c>
      <c r="D25" s="34" t="n"/>
      <c r="E25" s="35" t="inlineStr">
        <is>
          <t>Processing Node Scale Analysis [S6][S9]</t>
        </is>
      </c>
      <c r="F25" s="34" t="n"/>
      <c r="G25" s="34" t="n"/>
      <c r="H25" s="34" t="n"/>
    </row>
    <row r="26">
      <c r="A26" s="3" t="inlineStr">
        <is>
          <t>Barley → Beer</t>
        </is>
      </c>
      <c r="B26" s="3" t="inlineStr">
        <is>
          <t>kg barley per L beer</t>
        </is>
      </c>
      <c r="C26" s="8" t="n">
        <v>0.2027</v>
      </c>
      <c r="D26" s="34" t="n"/>
      <c r="E26" s="35" t="inlineStr">
        <is>
          <t>Brewers of Europe; DG AGRI BS 1.4 [S10]</t>
        </is>
      </c>
      <c r="F26" s="34" t="n"/>
      <c r="G26" s="34" t="n"/>
      <c r="H26" s="34" t="n"/>
    </row>
    <row r="27">
      <c r="A27" s="3" t="inlineStr">
        <is>
          <t>Sugar Beet → Sugar</t>
        </is>
      </c>
      <c r="B27" s="3" t="inlineStr">
        <is>
          <t>Extraction rate</t>
        </is>
      </c>
      <c r="C27" s="8" t="n">
        <v>0.142</v>
      </c>
      <c r="D27" s="34" t="n"/>
      <c r="E27" s="6" t="inlineStr">
        <is>
          <t>DG AGRI Balance Sheet 1.15 [S11]</t>
        </is>
      </c>
      <c r="F27" s="34" t="n"/>
      <c r="G27" s="34" t="n"/>
      <c r="H27" s="34" t="n"/>
    </row>
    <row r="28">
      <c r="A28" s="3" t="inlineStr">
        <is>
          <t>Potatoes → Fries</t>
        </is>
      </c>
      <c r="B28" s="3" t="inlineStr">
        <is>
          <t>Yield (frozen)</t>
        </is>
      </c>
      <c r="C28" s="8" t="n">
        <v>0.5</v>
      </c>
      <c r="D28" s="34" t="n"/>
      <c r="E28" s="6" t="inlineStr">
        <is>
          <t>FAO TCF EU median [S6]</t>
        </is>
      </c>
      <c r="F28" s="34" t="n"/>
      <c r="G28" s="34" t="n"/>
      <c r="H28" s="34" t="n"/>
    </row>
    <row r="29">
      <c r="A29" s="3" t="inlineStr">
        <is>
          <t>Rapeseed → Oil</t>
        </is>
      </c>
      <c r="B29" s="3" t="inlineStr">
        <is>
          <t>Extraction rate</t>
        </is>
      </c>
      <c r="C29" s="8" t="n">
        <v>0.4</v>
      </c>
      <c r="D29" s="34" t="n"/>
      <c r="E29" s="6" t="inlineStr">
        <is>
          <t>FAO TCF EU median [S6]</t>
        </is>
      </c>
      <c r="F29" s="34" t="n"/>
      <c r="G29" s="34" t="n"/>
      <c r="H29" s="34" t="n"/>
    </row>
    <row r="30">
      <c r="A30" s="3" t="inlineStr">
        <is>
          <t>Rapeseed oil density</t>
        </is>
      </c>
      <c r="B30" s="3" t="inlineStr">
        <is>
          <t>kg/L</t>
        </is>
      </c>
      <c r="C30" s="8" t="n">
        <v>0.91</v>
      </c>
      <c r="D30" s="34" t="n"/>
      <c r="E30" s="6" t="inlineStr">
        <is>
          <t>Standard</t>
        </is>
      </c>
      <c r="F30" s="34" t="n"/>
      <c r="G30" s="34" t="n"/>
      <c r="H30" s="34" t="n"/>
    </row>
    <row r="31">
      <c r="A31" s="3" t="inlineStr">
        <is>
          <t>Sugar per L carb. drink</t>
        </is>
      </c>
      <c r="B31" s="3" t="inlineStr">
        <is>
          <t>kg/L</t>
        </is>
      </c>
      <c r="C31" s="8" t="n">
        <v>0.105</v>
      </c>
      <c r="D31" s="34" t="n"/>
      <c r="E31" s="6" t="inlineStr">
        <is>
          <t>Industry standard (~105g/L)</t>
        </is>
      </c>
      <c r="F31" s="34" t="n"/>
      <c r="G31" s="34" t="n"/>
      <c r="H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</row>
    <row r="33">
      <c r="A33" s="31" t="inlineStr">
        <is>
          <t>D | EU AVERAGE RETAIL PRICES (2023)</t>
        </is>
      </c>
      <c r="B33" s="37" t="n"/>
      <c r="C33" s="37" t="n"/>
      <c r="D33" s="37" t="n"/>
      <c r="E33" s="37" t="n"/>
      <c r="F33" s="37" t="n"/>
      <c r="G33" s="37" t="n"/>
      <c r="H33" s="38" t="n"/>
    </row>
    <row r="34">
      <c r="A34" s="33" t="inlineStr">
        <is>
          <t>Eurostat prc_dap15 (2015 baseline), population-weighted, HICP-adjusted to 2023. Rapeseed Oil estimated from DE retail ÷ EU price index.</t>
        </is>
      </c>
      <c r="B34" s="37" t="n"/>
      <c r="C34" s="37" t="n"/>
      <c r="D34" s="37" t="n"/>
      <c r="E34" s="37" t="n"/>
      <c r="F34" s="37" t="n"/>
      <c r="G34" s="37" t="n"/>
      <c r="H34" s="38" t="n"/>
    </row>
    <row r="35">
      <c r="A35" s="2" t="inlineStr">
        <is>
          <t>Product</t>
        </is>
      </c>
      <c r="B35" s="2" t="inlineStr">
        <is>
          <t>EU Price 2023</t>
        </is>
      </c>
      <c r="C35" s="2" t="inlineStr">
        <is>
          <t>Unit</t>
        </is>
      </c>
      <c r="D35" s="2" t="n"/>
      <c r="E35" s="2" t="inlineStr">
        <is>
          <t>Source</t>
        </is>
      </c>
      <c r="F35" s="34" t="n"/>
      <c r="G35" s="34" t="n"/>
      <c r="H35" s="34" t="n"/>
    </row>
    <row r="36">
      <c r="A36" s="3" t="inlineStr">
        <is>
          <t>Wheat Flour</t>
        </is>
      </c>
      <c r="B36" s="4" t="n">
        <v>1.042</v>
      </c>
      <c r="C36" s="3" t="inlineStr">
        <is>
          <t>€/kg</t>
        </is>
      </c>
      <c r="D36" s="34" t="n"/>
      <c r="E36" s="35" t="inlineStr">
        <is>
          <t>Eurostat prc_dap15 weighted 2023 [S12]</t>
        </is>
      </c>
      <c r="F36" s="34" t="n"/>
      <c r="G36" s="34" t="n"/>
      <c r="H36" s="34" t="n"/>
    </row>
    <row r="37">
      <c r="A37" s="3" t="inlineStr">
        <is>
          <t>White Bread</t>
        </is>
      </c>
      <c r="B37" s="4" t="n">
        <v>1.67</v>
      </c>
      <c r="C37" s="3" t="inlineStr">
        <is>
          <t>€/500g loaf</t>
        </is>
      </c>
      <c r="D37" s="34" t="n"/>
      <c r="E37" s="35" t="inlineStr">
        <is>
          <t>Eurostat prc_dap15 weighted 2023 [S12]</t>
        </is>
      </c>
      <c r="F37" s="34" t="n"/>
      <c r="G37" s="34" t="n"/>
      <c r="H37" s="34" t="n"/>
    </row>
    <row r="38">
      <c r="A38" s="3" t="inlineStr">
        <is>
          <t>Pasta (dry)</t>
        </is>
      </c>
      <c r="B38" s="4" t="n">
        <v>1.192</v>
      </c>
      <c r="C38" s="3" t="inlineStr">
        <is>
          <t>€/500g</t>
        </is>
      </c>
      <c r="D38" s="34" t="n"/>
      <c r="E38" s="35" t="inlineStr">
        <is>
          <t>Eurostat prc_dap15 weighted 2023 [S12]</t>
        </is>
      </c>
      <c r="F38" s="34" t="n"/>
      <c r="G38" s="34" t="n"/>
      <c r="H38" s="34" t="n"/>
    </row>
    <row r="39">
      <c r="A39" s="3" t="inlineStr">
        <is>
          <t>Refined Sugar</t>
        </is>
      </c>
      <c r="B39" s="4" t="n">
        <v>1.429</v>
      </c>
      <c r="C39" s="3" t="inlineStr">
        <is>
          <t>€/kg</t>
        </is>
      </c>
      <c r="D39" s="34" t="n"/>
      <c r="E39" s="35" t="inlineStr">
        <is>
          <t>Eurostat prc_dap15 weighted 2023 [S12]</t>
        </is>
      </c>
      <c r="F39" s="34" t="n"/>
      <c r="G39" s="34" t="n"/>
      <c r="H39" s="34" t="n"/>
    </row>
    <row r="40">
      <c r="A40" s="3" t="inlineStr">
        <is>
          <t>Carbonated Drink</t>
        </is>
      </c>
      <c r="B40" s="4" t="n">
        <v>1.522</v>
      </c>
      <c r="C40" s="3" t="inlineStr">
        <is>
          <t>€/L</t>
        </is>
      </c>
      <c r="D40" s="34" t="n"/>
      <c r="E40" s="35" t="inlineStr">
        <is>
          <t>Eurostat prc_dap15 weighted 2023 [S12]</t>
        </is>
      </c>
      <c r="F40" s="34" t="n"/>
      <c r="G40" s="34" t="n"/>
      <c r="H40" s="34" t="n"/>
    </row>
    <row r="41">
      <c r="A41" s="3" t="inlineStr">
        <is>
          <t>Beer</t>
        </is>
      </c>
      <c r="B41" s="4" t="n">
        <v>1.041</v>
      </c>
      <c r="C41" s="3" t="inlineStr">
        <is>
          <t>€/0.5L glass</t>
        </is>
      </c>
      <c r="D41" s="34" t="n"/>
      <c r="E41" s="35" t="inlineStr">
        <is>
          <t>Eurostat prc_dap15 weighted 2023 [S12]</t>
        </is>
      </c>
      <c r="F41" s="34" t="n"/>
      <c r="G41" s="34" t="n"/>
      <c r="H41" s="34" t="n"/>
    </row>
    <row r="42">
      <c r="A42" s="3" t="inlineStr">
        <is>
          <t>Frozen Fries</t>
        </is>
      </c>
      <c r="B42" s="4" t="n">
        <v>1.968</v>
      </c>
      <c r="C42" s="3" t="inlineStr">
        <is>
          <t>€/kg</t>
        </is>
      </c>
      <c r="D42" s="34" t="n"/>
      <c r="E42" s="35" t="inlineStr">
        <is>
          <t>Eurostat prc_dap15 weighted 2023 [S12]</t>
        </is>
      </c>
      <c r="F42" s="34" t="n"/>
      <c r="G42" s="34" t="n"/>
      <c r="H42" s="34" t="n"/>
    </row>
    <row r="43">
      <c r="A43" s="3" t="inlineStr">
        <is>
          <t>Rapeseed Oil</t>
        </is>
      </c>
      <c r="B43" s="4" t="n">
        <v>2.2</v>
      </c>
      <c r="C43" s="3" t="inlineStr">
        <is>
          <t>€/L</t>
        </is>
      </c>
      <c r="D43" s="34" t="n"/>
      <c r="E43" s="35" t="inlineStr">
        <is>
          <t>Eurostat prc_dap15 weighted 2023 [S13]</t>
        </is>
      </c>
      <c r="F43" s="34" t="n"/>
      <c r="G43" s="34" t="n"/>
      <c r="H43" s="34" t="n"/>
    </row>
    <row r="44">
      <c r="A44" s="3" t="inlineStr">
        <is>
          <t>Chicken Breast</t>
        </is>
      </c>
      <c r="B44" s="4" t="n">
        <v>1.0875</v>
      </c>
      <c r="C44" s="3" t="inlineStr">
        <is>
          <t>€/100g</t>
        </is>
      </c>
      <c r="D44" s="34" t="n"/>
      <c r="E44" s="35" t="inlineStr">
        <is>
          <t>Eurostat prc_dap15 weighted 2023 [S12]</t>
        </is>
      </c>
      <c r="F44" s="34" t="n"/>
      <c r="G44" s="34" t="n"/>
      <c r="H44" s="34" t="n"/>
    </row>
    <row r="45">
      <c r="A45" s="3" t="inlineStr">
        <is>
          <t>Pork Loin Chop</t>
        </is>
      </c>
      <c r="B45" s="4" t="n">
        <v>0.8437</v>
      </c>
      <c r="C45" s="3" t="inlineStr">
        <is>
          <t>€/100g</t>
        </is>
      </c>
      <c r="D45" s="34" t="n"/>
      <c r="E45" s="35" t="inlineStr">
        <is>
          <t>Eurostat prc_dap15 weighted 2023 [S12]</t>
        </is>
      </c>
      <c r="F45" s="34" t="n"/>
      <c r="G45" s="34" t="n"/>
      <c r="H45" s="34" t="n"/>
    </row>
    <row r="46">
      <c r="A46" s="3" t="inlineStr">
        <is>
          <t>Minced Beef</t>
        </is>
      </c>
      <c r="B46" s="4" t="n">
        <v>0.9658</v>
      </c>
      <c r="C46" s="3" t="inlineStr">
        <is>
          <t>€/100g</t>
        </is>
      </c>
      <c r="D46" s="34" t="n"/>
      <c r="E46" s="35" t="inlineStr">
        <is>
          <t>Eurostat prc_dap15 weighted 2023 [S12]</t>
        </is>
      </c>
      <c r="F46" s="34" t="n"/>
      <c r="G46" s="34" t="n"/>
      <c r="H46" s="34" t="n"/>
    </row>
    <row r="47">
      <c r="A47" s="3" t="inlineStr">
        <is>
          <t>Milk (fresh)</t>
        </is>
      </c>
      <c r="B47" s="4" t="n">
        <v>1.544</v>
      </c>
      <c r="C47" s="3" t="inlineStr">
        <is>
          <t>€/L</t>
        </is>
      </c>
      <c r="D47" s="34" t="n"/>
      <c r="E47" s="35" t="inlineStr">
        <is>
          <t>Eurostat prc_dap15 weighted 2023 [S12]</t>
        </is>
      </c>
      <c r="F47" s="34" t="n"/>
      <c r="G47" s="34" t="n"/>
      <c r="H47" s="34" t="n"/>
    </row>
    <row r="48">
      <c r="A48" s="3" t="inlineStr">
        <is>
          <t>Eggs (10)</t>
        </is>
      </c>
      <c r="B48" s="4" t="n">
        <v>2.874</v>
      </c>
      <c r="C48" s="3" t="inlineStr">
        <is>
          <t>€/10 eggs</t>
        </is>
      </c>
      <c r="D48" s="34" t="n"/>
      <c r="E48" s="35" t="inlineStr">
        <is>
          <t>Eurostat prc_dap15 weighted 2023 [S12]</t>
        </is>
      </c>
      <c r="F48" s="34" t="n"/>
      <c r="G48" s="34" t="n"/>
      <c r="H48" s="34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</row>
    <row r="50">
      <c r="A50" s="31" t="inlineStr">
        <is>
          <t>E | LIVESTOCK N – REGULATORY REACH</t>
        </is>
      </c>
      <c r="B50" s="37" t="n"/>
      <c r="C50" s="37" t="n"/>
      <c r="D50" s="37" t="n"/>
      <c r="E50" s="37" t="n"/>
      <c r="F50" s="37" t="n"/>
      <c r="G50" s="37" t="n"/>
      <c r="H50" s="38" t="n"/>
    </row>
    <row r="51">
      <c r="A51" s="33" t="inlineStr">
        <is>
          <t>Regulatory Reach = pre-allocation + full oilseed scope. Source: Regulatory Entry Points [S14].</t>
        </is>
      </c>
      <c r="B51" s="37" t="n"/>
      <c r="C51" s="37" t="n"/>
      <c r="D51" s="37" t="n"/>
      <c r="E51" s="37" t="n"/>
      <c r="F51" s="37" t="n"/>
      <c r="G51" s="37" t="n"/>
      <c r="H51" s="38" t="n"/>
    </row>
    <row r="52">
      <c r="A52" s="33" t="inlineStr">
        <is>
          <t>Meat: premium-product allocation (consistent with rapeseed → oil). N ÷ (PRODCOM × retail yield). Yield: poultry 73% (FAO), pork 77% (FAO), beef 65% (USDA cutting yield).</t>
        </is>
      </c>
      <c r="B52" s="37" t="n"/>
      <c r="C52" s="37" t="n"/>
      <c r="D52" s="37" t="n"/>
      <c r="E52" s="37" t="n"/>
      <c r="F52" s="37" t="n"/>
      <c r="G52" s="37" t="n"/>
      <c r="H52" s="38" t="n"/>
    </row>
    <row r="53">
      <c r="A53" s="2" t="inlineStr">
        <is>
          <t>Species / End Product</t>
        </is>
      </c>
      <c r="B53" s="2" t="inlineStr">
        <is>
          <t>Reg. Reach (kt N)</t>
        </is>
      </c>
      <c r="C53" s="2" t="inlineStr">
        <is>
          <t>EU Production (t)</t>
        </is>
      </c>
      <c r="D53" s="2" t="inlineStr">
        <is>
          <t>N per unit</t>
        </is>
      </c>
      <c r="E53" s="2" t="inlineStr">
        <is>
          <t>Unit</t>
        </is>
      </c>
      <c r="F53" s="2" t="inlineStr">
        <is>
          <t>Source</t>
        </is>
      </c>
      <c r="G53" s="34" t="n"/>
      <c r="H53" s="34" t="n"/>
    </row>
    <row r="54">
      <c r="A54" s="3" t="inlineStr">
        <is>
          <t>Broilers (→ Chicken Breast)</t>
        </is>
      </c>
      <c r="B54" s="7" t="n">
        <v>406</v>
      </c>
      <c r="C54" s="7" t="n">
        <v>6517284</v>
      </c>
      <c r="D54" s="12" t="n">
        <v>0.00831263459069766</v>
      </c>
      <c r="E54" s="3" t="inlineStr">
        <is>
          <t>kg N / 100g (÷0.75)</t>
        </is>
      </c>
      <c r="F54" s="6" t="inlineStr">
        <is>
          <t>Regulatory Entry Points [S14]</t>
        </is>
      </c>
      <c r="G54" s="34" t="n"/>
      <c r="H54" s="34" t="n"/>
    </row>
    <row r="55">
      <c r="A55" s="3" t="inlineStr">
        <is>
          <t>Pigs (→ Pork Loin Chop)</t>
        </is>
      </c>
      <c r="B55" s="7" t="n">
        <v>1155</v>
      </c>
      <c r="C55" s="7" t="n">
        <v>12962605</v>
      </c>
      <c r="D55" s="12" t="n">
        <v>0.01188190625113219</v>
      </c>
      <c r="E55" s="3" t="inlineStr">
        <is>
          <t>kg N / 100g (÷0.75)</t>
        </is>
      </c>
      <c r="F55" s="6" t="inlineStr">
        <is>
          <t>Regulatory Entry Points [S14]</t>
        </is>
      </c>
      <c r="G55" s="34" t="n"/>
      <c r="H55" s="34" t="n"/>
    </row>
    <row r="56">
      <c r="A56" s="3" t="inlineStr">
        <is>
          <t>Beef cattle (→ Minced Beef)</t>
        </is>
      </c>
      <c r="B56" s="7" t="n">
        <v>1130</v>
      </c>
      <c r="C56" s="7" t="n">
        <v>5427055</v>
      </c>
      <c r="D56" s="12" t="n">
        <v>0.03204820936041219</v>
      </c>
      <c r="E56" s="3" t="inlineStr">
        <is>
          <t>kg N / 100g (÷0.65)</t>
        </is>
      </c>
      <c r="F56" s="6" t="inlineStr">
        <is>
          <t>Regulatory Entry Points [S14]</t>
        </is>
      </c>
      <c r="G56" s="34" t="n"/>
      <c r="H56" s="34" t="n"/>
    </row>
    <row r="57">
      <c r="A57" s="3" t="inlineStr">
        <is>
          <t>Dairy cattle (→ Milk)</t>
        </is>
      </c>
      <c r="B57" s="7" t="n">
        <v>2172</v>
      </c>
      <c r="C57" s="7" t="n">
        <v>153600000</v>
      </c>
      <c r="D57" s="12" t="n">
        <v>0.01456484375</v>
      </c>
      <c r="E57" s="3" t="inlineStr">
        <is>
          <t>kg N / L</t>
        </is>
      </c>
      <c r="F57" s="6" t="inlineStr">
        <is>
          <t>Regulatory Entry Points [S14]</t>
        </is>
      </c>
      <c r="G57" s="34" t="n"/>
      <c r="H57" s="34" t="n"/>
    </row>
    <row r="58">
      <c r="A58" s="3" t="inlineStr">
        <is>
          <t>Laying hens (→ Eggs)</t>
        </is>
      </c>
      <c r="B58" s="7" t="n">
        <v>306</v>
      </c>
      <c r="C58" s="7" t="n">
        <v>6700000</v>
      </c>
      <c r="D58" s="12" t="n">
        <v>0.03187880597014926</v>
      </c>
      <c r="E58" s="3" t="inlineStr">
        <is>
          <t>kg N / 10 eggs</t>
        </is>
      </c>
      <c r="F58" s="6" t="inlineStr">
        <is>
          <t>Regulatory Entry Points [S14]</t>
        </is>
      </c>
      <c r="G58" s="34" t="n"/>
      <c r="H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</row>
    <row r="60">
      <c r="A60" s="31" t="inlineStr">
        <is>
          <t>F | ICF N PER SPECIES (for NACE 10.9)</t>
        </is>
      </c>
      <c r="B60" s="37" t="n"/>
      <c r="C60" s="37" t="n"/>
      <c r="D60" s="37" t="n"/>
      <c r="E60" s="37" t="n"/>
      <c r="F60" s="37" t="n"/>
      <c r="G60" s="37" t="n"/>
      <c r="H60" s="38" t="n"/>
    </row>
    <row r="61">
      <c r="A61" s="33" t="inlineStr">
        <is>
          <t>ICF-only = N from industrial compound feed crops. Excludes roughages and on-farm feed. [S14][S16]</t>
        </is>
      </c>
      <c r="B61" s="37" t="n"/>
      <c r="C61" s="37" t="n"/>
      <c r="D61" s="37" t="n"/>
      <c r="E61" s="37" t="n"/>
      <c r="F61" s="37" t="n"/>
      <c r="G61" s="37" t="n"/>
      <c r="H61" s="38" t="n"/>
    </row>
    <row r="62">
      <c r="A62" s="2" t="inlineStr">
        <is>
          <t>Species</t>
        </is>
      </c>
      <c r="B62" s="2" t="inlineStr">
        <is>
          <t>ICF N (kt)</t>
        </is>
      </c>
      <c r="C62" s="2" t="inlineStr">
        <is>
          <t>FEFAC ICF Vol. (Mt)</t>
        </is>
      </c>
      <c r="D62" s="2" t="n"/>
      <c r="E62" s="2" t="n"/>
      <c r="F62" s="2" t="inlineStr">
        <is>
          <t>Source</t>
        </is>
      </c>
      <c r="G62" s="34" t="n"/>
      <c r="H62" s="34" t="n"/>
    </row>
    <row r="63" ht="26.65" customHeight="1">
      <c r="A63" s="3" t="inlineStr">
        <is>
          <t>Broilers</t>
        </is>
      </c>
      <c r="B63" s="7" t="n">
        <v>337</v>
      </c>
      <c r="C63" s="13" t="n">
        <v>32.9</v>
      </c>
      <c r="D63" s="34" t="n"/>
      <c r="E63" s="34" t="n"/>
      <c r="F63" s="35" t="inlineStr">
        <is>
          <t>Animal Feed Background [S14]; FEFAC 2024 [S15]</t>
        </is>
      </c>
      <c r="G63" s="34" t="n"/>
      <c r="H63" s="34" t="n"/>
    </row>
    <row r="64" ht="26.65" customHeight="1">
      <c r="A64" s="3" t="inlineStr">
        <is>
          <t>Pigs</t>
        </is>
      </c>
      <c r="B64" s="7" t="n">
        <v>497</v>
      </c>
      <c r="C64" s="13" t="n">
        <v>47.7</v>
      </c>
      <c r="D64" s="34" t="n"/>
      <c r="E64" s="34" t="n"/>
      <c r="F64" s="35" t="inlineStr">
        <is>
          <t>Animal Feed Background [S14]; FEFAC 2024 [S15]</t>
        </is>
      </c>
      <c r="G64" s="34" t="n"/>
      <c r="H64" s="34" t="n"/>
    </row>
    <row r="65" ht="26.65" customHeight="1">
      <c r="A65" s="3" t="inlineStr">
        <is>
          <t>Beef cattle</t>
        </is>
      </c>
      <c r="B65" s="7" t="n">
        <v>227</v>
      </c>
      <c r="C65" s="13" t="n">
        <v>14.2</v>
      </c>
      <c r="D65" s="34" t="n"/>
      <c r="E65" s="34" t="n"/>
      <c r="F65" s="35" t="inlineStr">
        <is>
          <t>Animal Feed Background [S14]; FEFAC 2024 [S15]</t>
        </is>
      </c>
      <c r="G65" s="34" t="n"/>
      <c r="H65" s="34" t="n"/>
    </row>
    <row r="66" ht="26.65" customHeight="1">
      <c r="A66" s="3" t="inlineStr">
        <is>
          <t>Dairy cattle</t>
        </is>
      </c>
      <c r="B66" s="7" t="n">
        <v>461</v>
      </c>
      <c r="C66" s="13" t="n">
        <v>27.9</v>
      </c>
      <c r="D66" s="34" t="n"/>
      <c r="E66" s="34" t="n"/>
      <c r="F66" s="35" t="inlineStr">
        <is>
          <t>Animal Feed Background [S14]; FEFAC 2024 [S15]</t>
        </is>
      </c>
      <c r="G66" s="34" t="n"/>
      <c r="H66" s="34" t="n"/>
    </row>
    <row r="67" ht="26.65" customHeight="1">
      <c r="A67" s="3" t="inlineStr">
        <is>
          <t>Laying hens</t>
        </is>
      </c>
      <c r="B67" s="7" t="n">
        <v>235</v>
      </c>
      <c r="C67" s="13" t="n">
        <v>16.2</v>
      </c>
      <c r="D67" s="34" t="n"/>
      <c r="E67" s="34" t="n"/>
      <c r="F67" s="35" t="inlineStr">
        <is>
          <t>Animal Feed Background [S14]; FEFAC 2024 [S15]</t>
        </is>
      </c>
      <c r="G67" s="34" t="n"/>
      <c r="H67" s="34" t="n"/>
    </row>
  </sheetData>
  <mergeCells count="12">
    <mergeCell ref="A50:H50"/>
    <mergeCell ref="A4:H4"/>
    <mergeCell ref="A2:H2"/>
    <mergeCell ref="A51:H51"/>
    <mergeCell ref="A52:H52"/>
    <mergeCell ref="A10:H10"/>
    <mergeCell ref="A60:H60"/>
    <mergeCell ref="A33:H33"/>
    <mergeCell ref="A19:H19"/>
    <mergeCell ref="A1:H1"/>
    <mergeCell ref="A61:H6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10" defaultColWidth="9.06640625" defaultRowHeight="14.25"/>
  <cols>
    <col width="35" customWidth="1" min="1" max="1"/>
    <col width="31" customWidth="1" min="2" max="2"/>
    <col width="23" customWidth="1" min="3" max="3"/>
    <col width="24" customWidth="1" min="4" max="4"/>
    <col width="23" customWidth="1" min="5" max="5"/>
    <col width="24" customWidth="1" min="6" max="7"/>
    <col width="23" customWidth="1" min="8" max="8"/>
    <col width="35" customWidth="1" min="9" max="10"/>
    <col width="12" customWidth="1" min="11" max="11"/>
  </cols>
  <sheetData>
    <row r="1">
      <c r="A1" s="31" t="inlineStr">
        <is>
          <t>GREEN PREMIUM CALCULATIONS – ALL SCENARIOS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8" t="n"/>
    </row>
    <row r="2">
      <c r="A2" s="33" t="inlineStr">
        <is>
          <t>Baseline: €1.202/kg N. Premiums: Low +€0.506, Central +€0.780, High +€1.073/kg N.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8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</row>
    <row r="4">
      <c r="A4" s="31" t="inlineStr">
        <is>
          <t>CROP-LEVEL GREEN PREMIUMS (illustrative)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8" t="n"/>
    </row>
    <row r="5">
      <c r="A5" s="33" t="inlineStr">
        <is>
          <t>GP at farmgate. Not used in Affordability index.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8" t="n"/>
    </row>
    <row r="6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</row>
    <row r="7">
      <c r="A7" s="2" t="inlineStr">
        <is>
          <t>Crop</t>
        </is>
      </c>
      <c r="B7" s="2" t="inlineStr">
        <is>
          <t>N/ha (kg)</t>
        </is>
      </c>
      <c r="C7" s="2" t="inlineStr">
        <is>
          <t>Yield (t/ha)</t>
        </is>
      </c>
      <c r="D7" s="2" t="inlineStr">
        <is>
          <t>N/t (kg)</t>
        </is>
      </c>
      <c r="E7" s="2" t="inlineStr">
        <is>
          <t>Price (€/t)</t>
        </is>
      </c>
      <c r="F7" s="2" t="inlineStr">
        <is>
          <t>GP LOW (%)</t>
        </is>
      </c>
      <c r="G7" s="2" t="inlineStr">
        <is>
          <t>GP CEN (%)</t>
        </is>
      </c>
      <c r="H7" s="2" t="inlineStr">
        <is>
          <t>GP HIGH (%)</t>
        </is>
      </c>
      <c r="I7" s="2" t="n"/>
      <c r="J7" s="34" t="n"/>
      <c r="K7" s="34" t="n"/>
    </row>
    <row r="8">
      <c r="A8" s="3" t="inlineStr">
        <is>
          <t>Wheat</t>
        </is>
      </c>
      <c r="B8" s="10" t="n">
        <v>98.41</v>
      </c>
      <c r="C8" s="8" t="n">
        <v>5.508</v>
      </c>
      <c r="D8" s="10" t="n">
        <v>17.86673928830792</v>
      </c>
      <c r="E8" s="10" t="n">
        <v>216.24</v>
      </c>
      <c r="F8" s="14" t="n">
        <v>0.04183973089230277</v>
      </c>
      <c r="G8" s="14" t="n">
        <v>0.06447196714704916</v>
      </c>
      <c r="H8" s="14" t="n">
        <v>0.08862569827606417</v>
      </c>
      <c r="I8" s="34" t="n"/>
      <c r="J8" s="34" t="n"/>
      <c r="K8" s="34" t="n"/>
    </row>
    <row r="9">
      <c r="A9" s="3" t="inlineStr">
        <is>
          <t>Barley</t>
        </is>
      </c>
      <c r="B9" s="10" t="n">
        <v>77.31</v>
      </c>
      <c r="C9" s="8" t="n">
        <v>4.571</v>
      </c>
      <c r="D9" s="10" t="n">
        <v>16.91314810763509</v>
      </c>
      <c r="E9" s="10" t="n">
        <v>219.89</v>
      </c>
      <c r="F9" s="14" t="n">
        <v>0.03894920411110359</v>
      </c>
      <c r="G9" s="14" t="n">
        <v>0.06001787665218356</v>
      </c>
      <c r="H9" s="14" t="n">
        <v>0.08250293054056303</v>
      </c>
      <c r="I9" s="34" t="n"/>
      <c r="J9" s="34" t="n"/>
      <c r="K9" s="34" t="n"/>
    </row>
    <row r="10">
      <c r="A10" s="3" t="inlineStr">
        <is>
          <t>Grain Maize</t>
        </is>
      </c>
      <c r="B10" s="10" t="n">
        <v>96.87</v>
      </c>
      <c r="C10" s="8" t="n">
        <v>7.355</v>
      </c>
      <c r="D10" s="10" t="n">
        <v>13.17063222297757</v>
      </c>
      <c r="E10" s="10" t="n">
        <v>206.21</v>
      </c>
      <c r="F10" s="14" t="n">
        <v>0.03234271809896098</v>
      </c>
      <c r="G10" s="14" t="n">
        <v>0.04983776459007046</v>
      </c>
      <c r="H10" s="14" t="n">
        <v>0.06850894866041418</v>
      </c>
      <c r="I10" s="34" t="n"/>
      <c r="J10" s="34" t="n"/>
      <c r="K10" s="34" t="n"/>
    </row>
    <row r="11">
      <c r="A11" s="3" t="inlineStr">
        <is>
          <t>Rapeseed</t>
        </is>
      </c>
      <c r="B11" s="10" t="n">
        <v>108.88</v>
      </c>
      <c r="C11" s="8" t="n">
        <v>3.163</v>
      </c>
      <c r="D11" s="10" t="n">
        <v>34.42301612393297</v>
      </c>
      <c r="E11" s="10" t="n">
        <v>431.59</v>
      </c>
      <c r="F11" s="14" t="n">
        <v>0.04038844771133347</v>
      </c>
      <c r="G11" s="14" t="n">
        <v>0.06223564584265635</v>
      </c>
      <c r="H11" s="14" t="n">
        <v>0.08555156317608496</v>
      </c>
      <c r="I11" s="34" t="n"/>
      <c r="J11" s="34" t="n"/>
      <c r="K11" s="34" t="n"/>
    </row>
    <row r="12">
      <c r="A12" s="3" t="inlineStr">
        <is>
          <t>Sugar Beet</t>
        </is>
      </c>
      <c r="B12" s="10" t="n">
        <v>95.15000000000001</v>
      </c>
      <c r="C12" s="8" t="n">
        <v>75.09999999999999</v>
      </c>
      <c r="D12" s="10" t="n">
        <v>1.266977363515313</v>
      </c>
      <c r="E12" s="10" t="n">
        <v>33.9</v>
      </c>
      <c r="F12" s="14" t="n">
        <v>0.01892556145807314</v>
      </c>
      <c r="G12" s="14" t="n">
        <v>0.02916290689596248</v>
      </c>
      <c r="H12" s="14" t="n">
        <v>0.04008847723723934</v>
      </c>
      <c r="I12" s="34" t="n"/>
      <c r="J12" s="34" t="n"/>
      <c r="K12" s="34" t="n"/>
    </row>
    <row r="13">
      <c r="A13" s="3" t="inlineStr">
        <is>
          <t>Potatoes</t>
        </is>
      </c>
      <c r="B13" s="10" t="n">
        <v>91.28</v>
      </c>
      <c r="C13" s="8" t="n">
        <v>36.23</v>
      </c>
      <c r="D13" s="10" t="n">
        <v>2.519459011868618</v>
      </c>
      <c r="E13" s="10" t="n">
        <v>327.21</v>
      </c>
      <c r="F13" s="14" t="n">
        <v>0.003899063826641549</v>
      </c>
      <c r="G13" s="14" t="n">
        <v>0.006008172365700564</v>
      </c>
      <c r="H13" s="14" t="n">
        <v>0.008259069714108083</v>
      </c>
      <c r="I13" s="34" t="n"/>
      <c r="J13" s="34" t="n"/>
      <c r="K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</row>
    <row r="15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</row>
    <row r="16">
      <c r="A16" s="31" t="inlineStr">
        <is>
          <t>APPROACH 1 | PLANT-BASED END PRODUCTS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8" t="n"/>
    </row>
    <row r="17">
      <c r="A17" s="33" t="inlineStr">
        <is>
          <t>1 tonne crop → conversion chain → retail units × EU price. GP = N cost increase per unit ÷ price.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8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</row>
    <row r="19">
      <c r="A19" s="2" t="inlineStr">
        <is>
          <t>Product</t>
        </is>
      </c>
      <c r="B19" s="2" t="inlineStr">
        <is>
          <t>Units from 1t</t>
        </is>
      </c>
      <c r="C19" s="2" t="inlineStr">
        <is>
          <t>Unit</t>
        </is>
      </c>
      <c r="D19" s="2" t="inlineStr">
        <is>
          <t>Price (€)</t>
        </is>
      </c>
      <c r="E19" s="2" t="inlineStr">
        <is>
          <t>GP LOW (%)</t>
        </is>
      </c>
      <c r="F19" s="2" t="inlineStr">
        <is>
          <t>GP CEN (%)</t>
        </is>
      </c>
      <c r="G19" s="2" t="inlineStr">
        <is>
          <t>GP HIGH (%)</t>
        </is>
      </c>
      <c r="H19" s="2" t="n"/>
      <c r="I19" s="2" t="inlineStr">
        <is>
          <t>Conversion chain [sources]</t>
        </is>
      </c>
      <c r="J19" s="34" t="n"/>
      <c r="K19" s="34" t="n"/>
    </row>
    <row r="20">
      <c r="A20" s="3" t="inlineStr">
        <is>
          <t>Flour (1 kg)</t>
        </is>
      </c>
      <c r="B20" s="15" t="n">
        <v>775</v>
      </c>
      <c r="C20" s="3" t="inlineStr">
        <is>
          <t>kg</t>
        </is>
      </c>
      <c r="D20" s="4" t="n">
        <v>1.042</v>
      </c>
      <c r="E20" s="16" t="n">
        <v>0.01120354579673277</v>
      </c>
      <c r="F20" s="16" t="n">
        <v>0.01726384518095215</v>
      </c>
      <c r="G20" s="16" t="n">
        <v>0.02373155964982493</v>
      </c>
      <c r="H20" s="34" t="n"/>
      <c r="I20" s="6" t="inlineStr">
        <is>
          <t>Wheat ER 77.5% [S6]</t>
        </is>
      </c>
      <c r="J20" s="34" t="n"/>
      <c r="K20" s="34" t="n"/>
    </row>
    <row r="21" ht="26.65" customHeight="1">
      <c r="A21" s="3" t="inlineStr">
        <is>
          <t>Bread (500g loaf)</t>
        </is>
      </c>
      <c r="B21" s="15" t="n">
        <v>2230.14</v>
      </c>
      <c r="C21" s="3" t="inlineStr">
        <is>
          <t>500g</t>
        </is>
      </c>
      <c r="D21" s="4" t="n">
        <v>1.67</v>
      </c>
      <c r="E21" s="16" t="n">
        <v>0.00242927296370469</v>
      </c>
      <c r="F21" s="16" t="n">
        <v>0.003743332076162967</v>
      </c>
      <c r="G21" s="16" t="n">
        <v>0.005145731297021798</v>
      </c>
      <c r="H21" s="34" t="n"/>
      <c r="I21" s="35" t="inlineStr">
        <is>
          <t>ER 77.5% [S6] → dough 163.5% [S7] → baking −12% [S8]</t>
        </is>
      </c>
      <c r="J21" s="34" t="n"/>
      <c r="K21" s="34" t="n"/>
    </row>
    <row r="22">
      <c r="A22" s="3" t="inlineStr">
        <is>
          <t>Pasta (500g)</t>
        </is>
      </c>
      <c r="B22" s="15" t="n">
        <v>1406.469760900141</v>
      </c>
      <c r="C22" s="3" t="inlineStr">
        <is>
          <t>500g</t>
        </is>
      </c>
      <c r="D22" s="4" t="n">
        <v>1.192</v>
      </c>
      <c r="E22" s="16" t="n">
        <v>0.005396575539593753</v>
      </c>
      <c r="F22" s="16" t="n">
        <v>0.008315728458933887</v>
      </c>
      <c r="G22" s="16" t="n">
        <v>0.01143112695268344</v>
      </c>
      <c r="H22" s="34" t="n"/>
      <c r="I22" s="35" t="inlineStr">
        <is>
          <t>Conv. factor 1.422 kg durum/kg pasta [S6][S9]</t>
        </is>
      </c>
      <c r="J22" s="34" t="n"/>
      <c r="K22" s="34" t="n"/>
    </row>
    <row r="23">
      <c r="A23" s="3" t="inlineStr">
        <is>
          <t>Refined Sugar (1 kg)</t>
        </is>
      </c>
      <c r="B23" s="15" t="n">
        <v>142</v>
      </c>
      <c r="C23" s="3" t="inlineStr">
        <is>
          <t>kg</t>
        </is>
      </c>
      <c r="D23" s="4" t="n">
        <v>1.429</v>
      </c>
      <c r="E23" s="16" t="n">
        <v>0.003161752695318697</v>
      </c>
      <c r="F23" s="16" t="n">
        <v>0.004872029804024916</v>
      </c>
      <c r="G23" s="16" t="n">
        <v>0.006697283525081133</v>
      </c>
      <c r="H23" s="34" t="n"/>
      <c r="I23" s="6" t="inlineStr">
        <is>
          <t>Sugar Beet ER 14.2% [S11]</t>
        </is>
      </c>
      <c r="J23" s="34" t="n"/>
      <c r="K23" s="34" t="n"/>
    </row>
    <row r="24">
      <c r="A24" s="3" t="inlineStr">
        <is>
          <t>Carbonated Drink (1L)</t>
        </is>
      </c>
      <c r="B24" s="15" t="n">
        <v>1352.380952380953</v>
      </c>
      <c r="C24" s="3" t="inlineStr">
        <is>
          <t>L</t>
        </is>
      </c>
      <c r="D24" s="4" t="n">
        <v>1.522</v>
      </c>
      <c r="E24" s="16" t="n">
        <v>0.0003116985434750945</v>
      </c>
      <c r="F24" s="16" t="n">
        <v>0.0004803046727627586</v>
      </c>
      <c r="G24" s="16" t="n">
        <v>0.0006602456678848873</v>
      </c>
      <c r="H24" s="34" t="n"/>
      <c r="I24" s="6" t="inlineStr">
        <is>
          <t>105g sugar/L, ER 14.2%</t>
        </is>
      </c>
      <c r="J24" s="34" t="n"/>
      <c r="K24" s="34" t="n"/>
    </row>
    <row r="25">
      <c r="A25" s="3" t="inlineStr">
        <is>
          <t>Beer (0.5L glass)</t>
        </is>
      </c>
      <c r="B25" s="15" t="n">
        <v>9866.798223976321</v>
      </c>
      <c r="C25" s="3" t="inlineStr">
        <is>
          <t>0.5L</t>
        </is>
      </c>
      <c r="D25" s="4" t="n">
        <v>1.041</v>
      </c>
      <c r="E25" s="16" t="n">
        <v>0.0008338291823854409</v>
      </c>
      <c r="F25" s="16" t="n">
        <v>0.001284869823646378</v>
      </c>
      <c r="G25" s="16" t="n">
        <v>0.001766232524824018</v>
      </c>
      <c r="H25" s="34" t="n"/>
      <c r="I25" s="6" t="inlineStr">
        <is>
          <t>202.7g barley/L [S10]</t>
        </is>
      </c>
      <c r="J25" s="34" t="n"/>
      <c r="K25" s="34" t="n"/>
    </row>
    <row r="26">
      <c r="A26" s="3" t="inlineStr">
        <is>
          <t>Frozen Fries (1 kg)</t>
        </is>
      </c>
      <c r="B26" s="15" t="n">
        <v>500</v>
      </c>
      <c r="C26" s="3" t="inlineStr">
        <is>
          <t>kg</t>
        </is>
      </c>
      <c r="D26" s="4" t="n">
        <v>1.968</v>
      </c>
      <c r="E26" s="16" t="n">
        <v>0.001296557596255469</v>
      </c>
      <c r="F26" s="16" t="n">
        <v>0.001997900487582197</v>
      </c>
      <c r="G26" s="16" t="n">
        <v>0.002746392480846855</v>
      </c>
      <c r="H26" s="34" t="n"/>
      <c r="I26" s="6" t="inlineStr">
        <is>
          <t>Potato ER 50% (FAO) [S6]</t>
        </is>
      </c>
      <c r="J26" s="34" t="n"/>
      <c r="K26" s="34" t="n"/>
    </row>
    <row r="27" ht="26.65" customHeight="1">
      <c r="A27" s="3" t="inlineStr">
        <is>
          <t>Rapeseed Oil (1L)</t>
        </is>
      </c>
      <c r="B27" s="15" t="n">
        <v>439.5604395604395</v>
      </c>
      <c r="C27" s="3" t="inlineStr">
        <is>
          <t>L</t>
        </is>
      </c>
      <c r="D27" s="4" t="n">
        <v>2.2</v>
      </c>
      <c r="E27" s="16" t="n">
        <v>0.01802549731186172</v>
      </c>
      <c r="F27" s="16" t="n">
        <v>0.02777597383431951</v>
      </c>
      <c r="G27" s="16" t="n">
        <v>0.03818194457677446</v>
      </c>
      <c r="H27" s="34" t="n"/>
      <c r="I27" s="35" t="inlineStr">
        <is>
          <t>ER 40% [S6], 100% N to oil (regulatory focus) [S13]</t>
        </is>
      </c>
      <c r="J27" s="34" t="n"/>
      <c r="K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</row>
    <row r="30">
      <c r="A30" s="31" t="inlineStr">
        <is>
          <t>APPROACH 2 | ANIMAL PRODUCTS – REGULATORY REACH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8" t="n"/>
    </row>
    <row r="31">
      <c r="A31" s="33" t="inlineStr">
        <is>
          <t>Regulatory Reach (pre-alloc + full oilseed) ÷ EU production. [S14]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8" t="n"/>
    </row>
    <row r="32">
      <c r="A32" s="33" t="inlineStr">
        <is>
          <t>Meat per-species: NACE 10.1 total 2,692 kt × species share (363/1032/1010 out of 2,405 kt).</t>
        </is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8" t="n"/>
    </row>
    <row r="33">
      <c r="A33" s="33" t="inlineStr">
        <is>
          <t>GP = (N/unit × Premium) / Price. Price from Eurostat prc_dap15 [S12]. Premium-product allocation: 100% of feed-N to retail meat (÷ yield factor).</t>
        </is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8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</row>
    <row r="35">
      <c r="A35" s="2" t="inlineStr">
        <is>
          <t>Product</t>
        </is>
      </c>
      <c r="B35" s="2" t="inlineStr">
        <is>
          <t>Total N (kt)</t>
        </is>
      </c>
      <c r="C35" s="2" t="inlineStr">
        <is>
          <t>EU Prod (t)</t>
        </is>
      </c>
      <c r="D35" s="2" t="inlineStr">
        <is>
          <t>N/unit (kg)</t>
        </is>
      </c>
      <c r="E35" s="2" t="inlineStr">
        <is>
          <t>Price (€/unit)</t>
        </is>
      </c>
      <c r="F35" s="2" t="inlineStr">
        <is>
          <t>GP LOW (%)</t>
        </is>
      </c>
      <c r="G35" s="2" t="inlineStr">
        <is>
          <t>GP CEN (%)</t>
        </is>
      </c>
      <c r="H35" s="2" t="inlineStr">
        <is>
          <t>GP HIGH (%)</t>
        </is>
      </c>
      <c r="I35" s="2" t="n"/>
      <c r="J35" s="2" t="inlineStr">
        <is>
          <t>Notes</t>
        </is>
      </c>
      <c r="K35" s="34" t="n"/>
    </row>
    <row r="36">
      <c r="A36" s="3" t="inlineStr">
        <is>
          <t>Chicken Breast (100g)</t>
        </is>
      </c>
      <c r="B36" s="7" t="n">
        <v>406</v>
      </c>
      <c r="C36" s="7" t="n">
        <v>6517284</v>
      </c>
      <c r="D36" s="12" t="n">
        <v>0.008540378004141433</v>
      </c>
      <c r="E36" s="17" t="n">
        <v>1.0875</v>
      </c>
      <c r="F36" s="16" t="n">
        <v>0.003976742244045175</v>
      </c>
      <c r="G36" s="16" t="n">
        <v>0.006127869129233111</v>
      </c>
      <c r="H36" s="16" t="n">
        <v>0.008423609586534519</v>
      </c>
      <c r="I36" s="34" t="n"/>
      <c r="J36" s="6" t="inlineStr">
        <is>
          <t>NACE 1012; ÷0.73 FAO</t>
        </is>
      </c>
      <c r="K36" s="34" t="n"/>
    </row>
    <row r="37">
      <c r="A37" s="3" t="inlineStr">
        <is>
          <t>Pork Loin Chop (100g)</t>
        </is>
      </c>
      <c r="B37" s="7" t="n">
        <v>1155</v>
      </c>
      <c r="C37" s="7" t="n">
        <v>12962605</v>
      </c>
      <c r="D37" s="12" t="n">
        <v>0.01157328530954434</v>
      </c>
      <c r="E37" s="17" t="n">
        <v>0.8437</v>
      </c>
      <c r="F37" s="16" t="n">
        <v>0.006946215064911782</v>
      </c>
      <c r="G37" s="16" t="n">
        <v>0.01070360970088645</v>
      </c>
      <c r="H37" s="16" t="n">
        <v>0.0147136022955821</v>
      </c>
      <c r="I37" s="34" t="n"/>
      <c r="J37" s="6" t="inlineStr">
        <is>
          <t>NACE 1011; ÷0.77 FAO</t>
        </is>
      </c>
      <c r="K37" s="34" t="n"/>
    </row>
    <row r="38">
      <c r="A38" s="3" t="inlineStr">
        <is>
          <t>Minced Beef (100g)</t>
        </is>
      </c>
      <c r="B38" s="7" t="n">
        <v>1130</v>
      </c>
      <c r="C38" s="7" t="n">
        <v>5427055</v>
      </c>
      <c r="D38" s="12" t="n">
        <v>0.03204820936041219</v>
      </c>
      <c r="E38" s="17" t="n">
        <v>0.9658</v>
      </c>
      <c r="F38" s="16" t="n">
        <v>0.01680336197600763</v>
      </c>
      <c r="G38" s="16" t="n">
        <v>0.02589275261032908</v>
      </c>
      <c r="H38" s="16" t="n">
        <v>0.03559319471586541</v>
      </c>
      <c r="I38" s="34" t="n"/>
      <c r="J38" s="6" t="inlineStr">
        <is>
          <t>NACE 1011; ÷0.65 cutting yield</t>
        </is>
      </c>
      <c r="K38" s="34" t="n"/>
    </row>
    <row r="39">
      <c r="A39" s="3" t="inlineStr">
        <is>
          <t>Milk (1L)</t>
        </is>
      </c>
      <c r="B39" s="7" t="n">
        <v>2172</v>
      </c>
      <c r="C39" s="7" t="n">
        <v>153600000</v>
      </c>
      <c r="D39" s="12" t="n">
        <v>0.01456484375</v>
      </c>
      <c r="E39" s="17" t="n">
        <v>1.544</v>
      </c>
      <c r="F39" s="16" t="n">
        <v>0.004776811997319871</v>
      </c>
      <c r="G39" s="16" t="n">
        <v>0.007360718140170783</v>
      </c>
      <c r="H39" s="16" t="n">
        <v>0.01011833225901167</v>
      </c>
      <c r="I39" s="34" t="n"/>
      <c r="J39" s="6" t="inlineStr">
        <is>
          <t>Dairy RegReach 2,172 kt; 1L≈1.03kg</t>
        </is>
      </c>
      <c r="K39" s="34" t="n"/>
    </row>
    <row r="40">
      <c r="A40" s="3" t="inlineStr">
        <is>
          <t>Eggs (10 eggs)</t>
        </is>
      </c>
      <c r="B40" s="7" t="n">
        <v>306</v>
      </c>
      <c r="C40" s="7" t="n">
        <v>6700000</v>
      </c>
      <c r="D40" s="12" t="n">
        <v>0.03187880597014926</v>
      </c>
      <c r="E40" s="17" t="n">
        <v>2.874</v>
      </c>
      <c r="F40" s="16" t="n">
        <v>0.005616876792331544</v>
      </c>
      <c r="G40" s="16" t="n">
        <v>0.00865519658709954</v>
      </c>
      <c r="H40" s="16" t="n">
        <v>0.01189777317479311</v>
      </c>
      <c r="I40" s="34" t="n"/>
      <c r="J40" s="35" t="inlineStr">
        <is>
          <t>Eggs RegReach 306 kt; avg 69.8g/egg</t>
        </is>
      </c>
      <c r="K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</row>
    <row r="42">
      <c r="A42" s="31" t="inlineStr">
        <is>
          <t>MEAT WEIGHTED AVERAGE (PRODCOM 2023 value) [S18]</t>
        </is>
      </c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8" t="n"/>
    </row>
    <row r="43">
      <c r="A43" s="33" t="inlineStr">
        <is>
          <t xml:space="preserve">  Poultry 29.8%, Pork 42.8%, Beef 27.3%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8" t="n"/>
    </row>
    <row r="44">
      <c r="A44" s="18" t="inlineStr">
        <is>
          <t xml:space="preserve">  Weighted Ø C101</t>
        </is>
      </c>
      <c r="B44" s="34" t="n"/>
      <c r="C44" s="34" t="n"/>
      <c r="D44" s="34" t="n"/>
      <c r="E44" s="34" t="n"/>
      <c r="F44" s="16" t="n">
        <v>0.008745367055957787</v>
      </c>
      <c r="G44" s="16" t="n">
        <v>0.0134759714151107</v>
      </c>
      <c r="H44" s="16" t="n">
        <v>0.01852459959672768</v>
      </c>
      <c r="I44" s="34" t="n"/>
      <c r="J44" s="34" t="n"/>
      <c r="K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</row>
    <row r="47">
      <c r="A47" s="31" t="inlineStr">
        <is>
          <t>APPROACH 2b | NACE 10.9 – ICF-ONLY N ON ANIMAL END PRODUCTS</t>
        </is>
      </c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8" t="n"/>
    </row>
    <row r="48">
      <c r="A48" s="33" t="inlineStr">
        <is>
          <t>Only ICF-attributed N is 'greened'. Roughage + on-farm stays grey. [S14][S16]</t>
        </is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8" t="n"/>
    </row>
    <row r="49">
      <c r="A49" s="33" t="inlineStr">
        <is>
          <t>GP = (N/unit × Premium) / Price. Same yield factors as Approach 2 (meat: ÷ 0.75/0.65). Same prices.</t>
        </is>
      </c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8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</row>
    <row r="51">
      <c r="A51" s="2" t="inlineStr">
        <is>
          <t>Species</t>
        </is>
      </c>
      <c r="B51" s="2" t="inlineStr">
        <is>
          <t>ICF N (kt)</t>
        </is>
      </c>
      <c r="C51" s="2" t="inlineStr">
        <is>
          <t>EU Prod (t)</t>
        </is>
      </c>
      <c r="D51" s="2" t="inlineStr">
        <is>
          <t>N/unit</t>
        </is>
      </c>
      <c r="E51" s="2" t="inlineStr">
        <is>
          <t>Price (€/unit)</t>
        </is>
      </c>
      <c r="F51" s="2" t="inlineStr">
        <is>
          <t>GP LOW (%)</t>
        </is>
      </c>
      <c r="G51" s="2" t="inlineStr">
        <is>
          <t>GP CEN (%)</t>
        </is>
      </c>
      <c r="H51" s="2" t="inlineStr">
        <is>
          <t>GP HIGH (%)</t>
        </is>
      </c>
      <c r="I51" s="2" t="n"/>
      <c r="J51" s="2" t="inlineStr">
        <is>
          <t>FEFAC vol. (Mt) [S15]</t>
        </is>
      </c>
      <c r="K51" s="34" t="n"/>
    </row>
    <row r="52">
      <c r="A52" s="3" t="inlineStr">
        <is>
          <t>Broilers</t>
        </is>
      </c>
      <c r="B52" s="7" t="n">
        <v>337</v>
      </c>
      <c r="C52" s="7" t="n">
        <v>6517284</v>
      </c>
      <c r="D52" s="12" t="n">
        <v>0.007083377609698125</v>
      </c>
      <c r="E52" s="17" t="n">
        <v>1.0875</v>
      </c>
      <c r="F52" s="16" t="n">
        <v>0.003298304472864147</v>
      </c>
      <c r="G52" s="16" t="n">
        <v>0.005082446112352586</v>
      </c>
      <c r="H52" s="16" t="n">
        <v>0.006986530046932682</v>
      </c>
      <c r="I52" s="34" t="n"/>
      <c r="J52" s="6" t="inlineStr">
        <is>
          <t>FEFAC: 32.9 Mt (23.7%)</t>
        </is>
      </c>
      <c r="K52" s="34" t="n"/>
    </row>
    <row r="53">
      <c r="A53" s="3" t="inlineStr">
        <is>
          <t>Pigs</t>
        </is>
      </c>
      <c r="B53" s="7" t="n">
        <v>497</v>
      </c>
      <c r="C53" s="7" t="n">
        <v>12962605</v>
      </c>
      <c r="D53" s="12" t="n">
        <v>0.004979358280643015</v>
      </c>
      <c r="E53" s="17" t="n">
        <v>0.8437</v>
      </c>
      <c r="F53" s="16" t="n">
        <v>0.002988580388152335</v>
      </c>
      <c r="G53" s="16" t="n">
        <v>0.004605183936226508</v>
      </c>
      <c r="H53" s="16" t="n">
        <v>0.006330466714423316</v>
      </c>
      <c r="I53" s="34" t="n"/>
      <c r="J53" s="6" t="inlineStr">
        <is>
          <t>FEFAC: 47.7 Mt (34.3%)</t>
        </is>
      </c>
      <c r="K53" s="34" t="n"/>
    </row>
    <row r="54">
      <c r="A54" s="3" t="inlineStr">
        <is>
          <t>Beef</t>
        </is>
      </c>
      <c r="B54" s="7" t="n">
        <v>227</v>
      </c>
      <c r="C54" s="7" t="n">
        <v>5427055</v>
      </c>
      <c r="D54" s="12" t="n">
        <v>0.006434995945881684</v>
      </c>
      <c r="E54" s="17" t="n">
        <v>0.9658</v>
      </c>
      <c r="F54" s="16" t="n">
        <v>0.003373965920428598</v>
      </c>
      <c r="G54" s="16" t="n">
        <v>0.005199034872787727</v>
      </c>
      <c r="H54" s="16" t="n">
        <v>0.00714679753622982</v>
      </c>
      <c r="I54" s="34" t="n"/>
      <c r="J54" s="6" t="inlineStr">
        <is>
          <t>FEFAC: 14.2 Mt (10.2%)</t>
        </is>
      </c>
      <c r="K54" s="34" t="n"/>
    </row>
    <row r="55">
      <c r="A55" s="3" t="inlineStr">
        <is>
          <t>Dairy</t>
        </is>
      </c>
      <c r="B55" s="7" t="n">
        <v>461</v>
      </c>
      <c r="C55" s="7" t="n">
        <v>153600000</v>
      </c>
      <c r="D55" s="12" t="n">
        <v>0.003091341145833333</v>
      </c>
      <c r="E55" s="17" t="n">
        <v>1.544</v>
      </c>
      <c r="F55" s="16" t="n">
        <v>0.001013862951549015</v>
      </c>
      <c r="G55" s="16" t="n">
        <v>0.001562288702863136</v>
      </c>
      <c r="H55" s="16" t="n">
        <v>0.002147583412248794</v>
      </c>
      <c r="I55" s="34" t="n"/>
      <c r="J55" s="6" t="inlineStr">
        <is>
          <t>FEFAC: 27.9 Mt (20.1%)</t>
        </is>
      </c>
      <c r="K55" s="34" t="n"/>
    </row>
    <row r="56">
      <c r="A56" s="3" t="inlineStr">
        <is>
          <t>Layers</t>
        </is>
      </c>
      <c r="B56" s="7" t="n">
        <v>235</v>
      </c>
      <c r="C56" s="7" t="n">
        <v>6700000</v>
      </c>
      <c r="D56" s="12" t="n">
        <v>0.02448208955223881</v>
      </c>
      <c r="E56" s="17" t="n">
        <v>2.874</v>
      </c>
      <c r="F56" s="16" t="n">
        <v>0.004313614530058539</v>
      </c>
      <c r="G56" s="16" t="n">
        <v>0.00664696469924311</v>
      </c>
      <c r="H56" s="16" t="n">
        <v>0.009137178745347653</v>
      </c>
      <c r="I56" s="34" t="n"/>
      <c r="J56" s="6" t="inlineStr">
        <is>
          <t>FEFAC: 16.2 Mt (11.7%)</t>
        </is>
      </c>
      <c r="K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</row>
    <row r="58">
      <c r="A58" s="18" t="inlineStr">
        <is>
          <t>FEFAC vol.-weighted Ø C109</t>
        </is>
      </c>
      <c r="B58" s="34" t="n"/>
      <c r="C58" s="34" t="n"/>
      <c r="D58" s="34" t="n"/>
      <c r="E58" s="34" t="n"/>
      <c r="F58" s="16" t="n">
        <v>0.002859230737777889</v>
      </c>
      <c r="G58" s="16" t="n">
        <v>0.004405865579450038</v>
      </c>
      <c r="H58" s="16" t="n">
        <v>0.00605647587266317</v>
      </c>
      <c r="I58" s="34" t="n"/>
      <c r="J58" s="34" t="n"/>
      <c r="K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</row>
    <row r="61">
      <c r="A61" s="31" t="inlineStr">
        <is>
          <t>APPROACH 3 | ICF RECIPE COST PASS-THROUGH (informational)</t>
        </is>
      </c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8" t="n"/>
    </row>
    <row r="62">
      <c r="A62" s="33" t="inlineStr">
        <is>
          <t>Feed recipe × N-cost-share × 75% RM cost share. Not used for index. [S15][S16]</t>
        </is>
      </c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8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</row>
    <row r="64">
      <c r="A64" s="2" t="inlineStr">
        <is>
          <t>Species</t>
        </is>
      </c>
      <c r="B64" s="2" t="inlineStr">
        <is>
          <t>Wheat</t>
        </is>
      </c>
      <c r="C64" s="2" t="inlineStr">
        <is>
          <t>Maize</t>
        </is>
      </c>
      <c r="D64" s="2" t="inlineStr">
        <is>
          <t>Barley</t>
        </is>
      </c>
      <c r="E64" s="2" t="inlineStr">
        <is>
          <t>OilMeal</t>
        </is>
      </c>
      <c r="F64" s="2" t="inlineStr">
        <is>
          <t>Soya</t>
        </is>
      </c>
      <c r="G64" s="2" t="inlineStr">
        <is>
          <t>Wtd N-sh</t>
        </is>
      </c>
      <c r="H64" s="2" t="inlineStr">
        <is>
          <t>×75% RM</t>
        </is>
      </c>
      <c r="I64" s="2" t="inlineStr">
        <is>
          <t>GP HIGH (%)</t>
        </is>
      </c>
      <c r="J64" s="34" t="n"/>
      <c r="K64" s="34" t="n"/>
    </row>
    <row r="65">
      <c r="A65" s="3" t="inlineStr">
        <is>
          <t>Broiler</t>
        </is>
      </c>
      <c r="B65" s="14" t="n">
        <v>0.3784</v>
      </c>
      <c r="C65" s="14" t="n">
        <v>0.2174</v>
      </c>
      <c r="D65" s="14" t="n">
        <v>0</v>
      </c>
      <c r="E65" s="14" t="n">
        <v>0.0448</v>
      </c>
      <c r="F65" s="14" t="n">
        <v>0.2319</v>
      </c>
      <c r="G65" s="16" t="n">
        <v>0.05875087546954484</v>
      </c>
      <c r="H65" s="16" t="n">
        <v>0.04406315660215863</v>
      </c>
      <c r="I65" s="16" t="n">
        <v>0.03932072716870869</v>
      </c>
      <c r="J65" s="34" t="n"/>
      <c r="K65" s="34" t="n"/>
    </row>
    <row r="66">
      <c r="A66" s="3" t="inlineStr">
        <is>
          <t>Laying Hens</t>
        </is>
      </c>
      <c r="B66" s="14" t="n">
        <v>0.4394</v>
      </c>
      <c r="C66" s="14" t="n">
        <v>0.4394</v>
      </c>
      <c r="D66" s="14" t="n">
        <v>0.06710000000000001</v>
      </c>
      <c r="E66" s="14" t="n">
        <v>0.049</v>
      </c>
      <c r="F66" s="14" t="n">
        <v>0.133</v>
      </c>
      <c r="G66" s="16" t="n">
        <v>0.08847603166727641</v>
      </c>
      <c r="H66" s="16" t="n">
        <v>0.06635702375045731</v>
      </c>
      <c r="I66" s="16" t="n">
        <v>0.05921514997614653</v>
      </c>
      <c r="J66" s="34" t="n"/>
      <c r="K66" s="34" t="n"/>
    </row>
    <row r="67">
      <c r="A67" s="3" t="inlineStr">
        <is>
          <t>Pigs</t>
        </is>
      </c>
      <c r="B67" s="14" t="n">
        <v>0.2373</v>
      </c>
      <c r="C67" s="14" t="n">
        <v>0.1238</v>
      </c>
      <c r="D67" s="14" t="n">
        <v>0.2246</v>
      </c>
      <c r="E67" s="14" t="n">
        <v>0.0051</v>
      </c>
      <c r="F67" s="14" t="n">
        <v>0.1698</v>
      </c>
      <c r="G67" s="16" t="n">
        <v>0.05434679033229096</v>
      </c>
      <c r="H67" s="16" t="n">
        <v>0.04076009274921823</v>
      </c>
      <c r="I67" s="16" t="n">
        <v>0.03637316547323245</v>
      </c>
      <c r="J67" s="34" t="n"/>
      <c r="K67" s="34" t="n"/>
    </row>
    <row r="68">
      <c r="A68" s="3" t="inlineStr">
        <is>
          <t>Dairy Cattle</t>
        </is>
      </c>
      <c r="B68" s="14" t="n">
        <v>0</v>
      </c>
      <c r="C68" s="14" t="n">
        <v>0.1574</v>
      </c>
      <c r="D68" s="14" t="n">
        <v>0.0123</v>
      </c>
      <c r="E68" s="14" t="n">
        <v>0.06</v>
      </c>
      <c r="F68" s="14" t="n">
        <v>0.1185</v>
      </c>
      <c r="G68" s="16" t="n">
        <v>0.01922104970707358</v>
      </c>
      <c r="H68" s="16" t="n">
        <v>0.01441578728030518</v>
      </c>
      <c r="I68" s="16" t="n">
        <v>0.01286424492210011</v>
      </c>
      <c r="J68" s="34" t="n"/>
      <c r="K68" s="34" t="n"/>
    </row>
    <row r="69">
      <c r="A69" s="3" t="inlineStr">
        <is>
          <t>Beef Cattle</t>
        </is>
      </c>
      <c r="B69" s="14" t="n">
        <v>0.08160000000000001</v>
      </c>
      <c r="C69" s="14" t="n">
        <v>0.1703</v>
      </c>
      <c r="D69" s="14" t="n">
        <v>0.3229</v>
      </c>
      <c r="E69" s="14" t="n">
        <v>0.17</v>
      </c>
      <c r="F69" s="14" t="n">
        <v>0.1293</v>
      </c>
      <c r="G69" s="16" t="n">
        <v>0.0680315509952536</v>
      </c>
      <c r="H69" s="16" t="n">
        <v>0.0510236632464402</v>
      </c>
      <c r="I69" s="16" t="n">
        <v>0.0455320884015617</v>
      </c>
      <c r="J69" s="34" t="n"/>
      <c r="K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</row>
    <row r="72">
      <c r="A72" s="31" t="inlineStr">
        <is>
          <t>SUMMARY | SECTOR ENDPOINTS – ALL SCENARIOS</t>
        </is>
      </c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8" t="n"/>
    </row>
    <row r="73">
      <c r="A73" s="33" t="inlineStr">
        <is>
          <t>8 NACE nodes. Regulatory Reach basis. Three scenarios from EU-LCOA medians.</t>
        </is>
      </c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8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</row>
    <row r="75">
      <c r="A75" s="2" t="inlineStr">
        <is>
          <t>NACE Sector</t>
        </is>
      </c>
      <c r="B75" s="2" t="inlineStr">
        <is>
          <t>Representative End Product(s)</t>
        </is>
      </c>
      <c r="C75" s="2" t="inlineStr">
        <is>
          <t>GP LOW (%)</t>
        </is>
      </c>
      <c r="D75" s="2" t="inlineStr">
        <is>
          <t>GP CEN (%)</t>
        </is>
      </c>
      <c r="E75" s="2" t="inlineStr">
        <is>
          <t>GP HIGH (%)</t>
        </is>
      </c>
      <c r="F75" s="2" t="inlineStr">
        <is>
          <t>Rank (HIGH)</t>
        </is>
      </c>
      <c r="G75" s="2" t="n"/>
      <c r="H75" s="2" t="n"/>
      <c r="I75" s="2" t="inlineStr">
        <is>
          <t>Weighting / Notes</t>
        </is>
      </c>
      <c r="J75" s="34" t="n"/>
      <c r="K75" s="34" t="n"/>
    </row>
    <row r="76">
      <c r="A76" s="3" t="inlineStr">
        <is>
          <t>C104 – Oils &amp; Fats</t>
        </is>
      </c>
      <c r="B76" s="3" t="inlineStr">
        <is>
          <t>Rapeseed Oil (1L)</t>
        </is>
      </c>
      <c r="C76" s="16" t="n">
        <v>0.01802549731186172</v>
      </c>
      <c r="D76" s="16" t="n">
        <v>0.02777597383431951</v>
      </c>
      <c r="E76" s="16" t="n">
        <v>0.03818194457677446</v>
      </c>
      <c r="F76" s="3" t="n">
        <v>1</v>
      </c>
      <c r="G76" s="34" t="n"/>
      <c r="H76" s="34" t="n"/>
      <c r="I76" s="6" t="inlineStr">
        <is>
          <t>100% N to oil (regulatory focus)</t>
        </is>
      </c>
      <c r="J76" s="34" t="n"/>
      <c r="K76" s="34" t="n"/>
    </row>
    <row r="77" ht="26.65" customHeight="1">
      <c r="A77" s="3" t="inlineStr">
        <is>
          <t>C101 – Meat</t>
        </is>
      </c>
      <c r="B77" s="3" t="inlineStr">
        <is>
          <t>Ø Chicken+Pork+Beef</t>
        </is>
      </c>
      <c r="C77" s="16" t="n">
        <v>0.008745367055957787</v>
      </c>
      <c r="D77" s="16" t="n">
        <v>0.0134759714151107</v>
      </c>
      <c r="E77" s="16" t="n">
        <v>0.01852459959672768</v>
      </c>
      <c r="F77" s="3" t="n">
        <v>2</v>
      </c>
      <c r="G77" s="34" t="n"/>
      <c r="H77" s="34" t="n"/>
      <c r="I77" s="35" t="inlineStr">
        <is>
          <t>PRODCOM value-wtd; premium-product alloc. (÷yield)</t>
        </is>
      </c>
      <c r="J77" s="34" t="n"/>
      <c r="K77" s="34" t="n"/>
    </row>
    <row r="78">
      <c r="A78" s="3" t="inlineStr">
        <is>
          <t>NACE 10.89 – Eggs</t>
        </is>
      </c>
      <c r="B78" s="3" t="inlineStr">
        <is>
          <t>Eggs (10)</t>
        </is>
      </c>
      <c r="C78" s="16" t="n">
        <v>0.005616876792331544</v>
      </c>
      <c r="D78" s="16" t="n">
        <v>0.00865519658709954</v>
      </c>
      <c r="E78" s="16" t="n">
        <v>0.01189777317479311</v>
      </c>
      <c r="F78" s="3" t="n">
        <v>3</v>
      </c>
      <c r="G78" s="34" t="n"/>
      <c r="H78" s="34" t="n"/>
      <c r="I78" s="6" t="inlineStr">
        <is>
          <t>Regulatory Reach 306 kt</t>
        </is>
      </c>
      <c r="J78" s="34" t="n"/>
      <c r="K78" s="34" t="n"/>
    </row>
    <row r="79">
      <c r="A79" s="3" t="inlineStr">
        <is>
          <t>C105 – Dairy</t>
        </is>
      </c>
      <c r="B79" s="3" t="inlineStr">
        <is>
          <t>Milk (1L)</t>
        </is>
      </c>
      <c r="C79" s="16" t="n">
        <v>0.004776811997319871</v>
      </c>
      <c r="D79" s="16" t="n">
        <v>0.007360718140170783</v>
      </c>
      <c r="E79" s="16" t="n">
        <v>0.01011833225901167</v>
      </c>
      <c r="F79" s="3" t="n">
        <v>4</v>
      </c>
      <c r="G79" s="34" t="n"/>
      <c r="H79" s="34" t="n"/>
      <c r="I79" s="6" t="inlineStr">
        <is>
          <t>Regulatory Reach 2,172 kt</t>
        </is>
      </c>
      <c r="J79" s="34" t="n"/>
      <c r="K79" s="34" t="n"/>
    </row>
    <row r="80">
      <c r="A80" s="3" t="inlineStr">
        <is>
          <t>C109 – Animal Feed</t>
        </is>
      </c>
      <c r="B80" s="3" t="inlineStr">
        <is>
          <t>ICF-only on end products</t>
        </is>
      </c>
      <c r="C80" s="16" t="n">
        <v>0.002859230737777889</v>
      </c>
      <c r="D80" s="16" t="n">
        <v>0.004405865579450038</v>
      </c>
      <c r="E80" s="16" t="n">
        <v>0.00605647587266317</v>
      </c>
      <c r="F80" s="3" t="n">
        <v>5</v>
      </c>
      <c r="G80" s="34" t="n"/>
      <c r="H80" s="34" t="n"/>
      <c r="I80" s="6" t="inlineStr">
        <is>
          <t>FEFAC vol.-wtd (Approach 2b)</t>
        </is>
      </c>
      <c r="J80" s="34" t="n"/>
      <c r="K80" s="34" t="n"/>
    </row>
    <row r="81">
      <c r="A81" s="3" t="inlineStr">
        <is>
          <t>C106 – Grain mill</t>
        </is>
      </c>
      <c r="B81" s="3" t="inlineStr">
        <is>
          <t>Bread (500g)</t>
        </is>
      </c>
      <c r="C81" s="16" t="n">
        <v>0.00242927296370469</v>
      </c>
      <c r="D81" s="16" t="n">
        <v>0.003743332076162967</v>
      </c>
      <c r="E81" s="16" t="n">
        <v>0.005145731297021798</v>
      </c>
      <c r="F81" s="3" t="n">
        <v>6</v>
      </c>
      <c r="G81" s="34" t="n"/>
      <c r="H81" s="34" t="n"/>
      <c r="I81" s="6" t="inlineStr">
        <is>
          <t>Bread-only (NACE 1071, €70.6B)</t>
        </is>
      </c>
      <c r="J81" s="34" t="n"/>
      <c r="K81" s="34" t="n"/>
    </row>
    <row r="82">
      <c r="A82" s="3" t="inlineStr">
        <is>
          <t>C110 – Beer</t>
        </is>
      </c>
      <c r="B82" s="3" t="inlineStr">
        <is>
          <t>Beer (0.5L)</t>
        </is>
      </c>
      <c r="C82" s="16" t="n">
        <v>0.0008338291823854409</v>
      </c>
      <c r="D82" s="16" t="n">
        <v>0.001284869823646378</v>
      </c>
      <c r="E82" s="16" t="n">
        <v>0.001766232524824018</v>
      </c>
      <c r="F82" s="3" t="n">
        <v>7</v>
      </c>
      <c r="G82" s="34" t="n"/>
      <c r="H82" s="34" t="n"/>
      <c r="I82" s="6" t="inlineStr">
        <is>
          <t>Single product</t>
        </is>
      </c>
      <c r="J82" s="34" t="n"/>
      <c r="K82" s="34" t="n"/>
    </row>
    <row r="83">
      <c r="A83" s="3" t="inlineStr">
        <is>
          <t>C108 – Sugar</t>
        </is>
      </c>
      <c r="B83" s="3" t="inlineStr">
        <is>
          <t>Carbonated Drink (1L)</t>
        </is>
      </c>
      <c r="C83" s="16" t="n">
        <v>0.0003116985434750945</v>
      </c>
      <c r="D83" s="16" t="n">
        <v>0.0004803046727627586</v>
      </c>
      <c r="E83" s="16" t="n">
        <v>0.0006602456678848873</v>
      </c>
      <c r="F83" s="3" t="n">
        <v>8</v>
      </c>
      <c r="G83" s="34" t="n"/>
      <c r="H83" s="34" t="n"/>
      <c r="I83" s="6" t="inlineStr">
        <is>
          <t>End product of sugar chain</t>
        </is>
      </c>
      <c r="J83" s="34" t="n"/>
      <c r="K83" s="34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</row>
    <row r="86">
      <c r="A86" s="31" t="inlineStr">
        <is>
          <t>IMPORT SENSITIVITY | GREEN NH₃ FROM NON-EU SOURCES</t>
        </is>
      </c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8" t="n"/>
    </row>
    <row r="87">
      <c r="A87" s="33" t="inlineStr">
        <is>
          <t>Non-EU Median Low $610/t + $70/t intercontinental transport = $680/t delivered. Comparison vs EU Central ($1,081/t).</t>
        </is>
      </c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8" t="n"/>
    </row>
    <row r="88">
      <c r="A88" s="33" t="inlineStr">
        <is>
          <t>Sources: Moritz et al. (2023), Rosa &amp; Mingolla (2025). Non-EU median from 9 studies incl. AU, Chile, US, China.</t>
        </is>
      </c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8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</row>
    <row r="90">
      <c r="A90" s="2" t="inlineStr">
        <is>
          <t>Product</t>
        </is>
      </c>
      <c r="B90" s="2" t="n"/>
      <c r="C90" s="2" t="n"/>
      <c r="D90" s="2" t="n"/>
      <c r="E90" s="2" t="inlineStr">
        <is>
          <t>EU Central (%)</t>
        </is>
      </c>
      <c r="F90" s="2" t="inlineStr">
        <is>
          <t>Import (%)</t>
        </is>
      </c>
      <c r="G90" s="2" t="inlineStr">
        <is>
          <t>Δ (pp)</t>
        </is>
      </c>
      <c r="H90" s="2" t="n"/>
      <c r="I90" s="2" t="inlineStr">
        <is>
          <t>Notes</t>
        </is>
      </c>
      <c r="J90" s="34" t="n"/>
      <c r="K90" s="34" t="n"/>
    </row>
    <row r="91">
      <c r="A91" s="31" t="inlineStr">
        <is>
          <t>CROPS (farmgate)</t>
        </is>
      </c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8" t="n"/>
    </row>
    <row r="92">
      <c r="A92" s="3" t="inlineStr">
        <is>
          <t xml:space="preserve">  Wheat</t>
        </is>
      </c>
      <c r="B92" s="34" t="n"/>
      <c r="C92" s="34" t="n"/>
      <c r="D92" s="34" t="n"/>
      <c r="E92" s="14" t="n">
        <v>0.06447196714704916</v>
      </c>
      <c r="F92" s="14" t="n">
        <v>0.02890702446101913</v>
      </c>
      <c r="G92" s="19" t="n">
        <v>-0.03556494268603003</v>
      </c>
      <c r="H92" s="34" t="n"/>
      <c r="I92" s="34" t="n"/>
      <c r="J92" s="34" t="n"/>
      <c r="K92" s="34" t="n"/>
    </row>
    <row r="93">
      <c r="A93" s="3" t="inlineStr">
        <is>
          <t xml:space="preserve">  Barley</t>
        </is>
      </c>
      <c r="B93" s="34" t="n"/>
      <c r="C93" s="34" t="n"/>
      <c r="D93" s="34" t="n"/>
      <c r="E93" s="14" t="n">
        <v>0.06001787665218356</v>
      </c>
      <c r="F93" s="14" t="n">
        <v>0.02690996265905789</v>
      </c>
      <c r="G93" s="19" t="n">
        <v>-0.03310791399312567</v>
      </c>
      <c r="H93" s="34" t="n"/>
      <c r="I93" s="34" t="n"/>
      <c r="J93" s="34" t="n"/>
      <c r="K93" s="34" t="n"/>
    </row>
    <row r="94">
      <c r="A94" s="3" t="inlineStr">
        <is>
          <t xml:space="preserve">  Grain Maize</t>
        </is>
      </c>
      <c r="B94" s="34" t="n"/>
      <c r="C94" s="34" t="n"/>
      <c r="D94" s="34" t="n"/>
      <c r="E94" s="14" t="n">
        <v>0.04983776459007046</v>
      </c>
      <c r="F94" s="14" t="n">
        <v>0.02234554867546985</v>
      </c>
      <c r="G94" s="19" t="n">
        <v>-0.02749221591460061</v>
      </c>
      <c r="H94" s="34" t="n"/>
      <c r="I94" s="34" t="n"/>
      <c r="J94" s="34" t="n"/>
      <c r="K94" s="34" t="n"/>
    </row>
    <row r="95">
      <c r="A95" s="3" t="inlineStr">
        <is>
          <t xml:space="preserve">  Rapeseed</t>
        </is>
      </c>
      <c r="B95" s="34" t="n"/>
      <c r="C95" s="34" t="n"/>
      <c r="D95" s="34" t="n"/>
      <c r="E95" s="14" t="n">
        <v>0.06223564584265635</v>
      </c>
      <c r="F95" s="14" t="n">
        <v>0.02790433449343467</v>
      </c>
      <c r="G95" s="19" t="n">
        <v>-0.03433131134922168</v>
      </c>
      <c r="H95" s="34" t="n"/>
      <c r="I95" s="34" t="n"/>
      <c r="J95" s="34" t="n"/>
      <c r="K95" s="34" t="n"/>
    </row>
    <row r="96">
      <c r="A96" s="3" t="inlineStr">
        <is>
          <t xml:space="preserve">  Sugar Beet</t>
        </is>
      </c>
      <c r="B96" s="34" t="n"/>
      <c r="C96" s="34" t="n"/>
      <c r="D96" s="34" t="n"/>
      <c r="E96" s="14" t="n">
        <v>0.02916290689596248</v>
      </c>
      <c r="F96" s="14" t="n">
        <v>0.01307564977927923</v>
      </c>
      <c r="G96" s="19" t="n">
        <v>-0.01608725711668325</v>
      </c>
      <c r="H96" s="34" t="n"/>
      <c r="I96" s="34" t="n"/>
      <c r="J96" s="34" t="n"/>
      <c r="K96" s="34" t="n"/>
    </row>
    <row r="97">
      <c r="A97" s="3" t="inlineStr">
        <is>
          <t xml:space="preserve">  Potatoes</t>
        </is>
      </c>
      <c r="B97" s="34" t="n"/>
      <c r="C97" s="34" t="n"/>
      <c r="D97" s="34" t="n"/>
      <c r="E97" s="14" t="n">
        <v>0.006008172365700564</v>
      </c>
      <c r="F97" s="14" t="n">
        <v>0.002693858947179256</v>
      </c>
      <c r="G97" s="19" t="n">
        <v>-0.003314313418521308</v>
      </c>
      <c r="H97" s="34" t="n"/>
      <c r="I97" s="34" t="n"/>
      <c r="J97" s="34" t="n"/>
      <c r="K97" s="34" t="n"/>
    </row>
    <row r="98">
      <c r="A98" s="31" t="inlineStr">
        <is>
          <t>END PRODUCTS</t>
        </is>
      </c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8" t="n"/>
    </row>
    <row r="99">
      <c r="A99" s="3" t="inlineStr">
        <is>
          <t xml:space="preserve">  Bread (500g loaf)</t>
        </is>
      </c>
      <c r="B99" s="34" t="n"/>
      <c r="C99" s="34" t="n"/>
      <c r="D99" s="34" t="n"/>
      <c r="E99" s="16" t="n">
        <v>0.003743332076162967</v>
      </c>
      <c r="F99" s="16" t="n">
        <v>0.001678382042299962</v>
      </c>
      <c r="G99" s="20" t="n">
        <v>-0.002064950033863005</v>
      </c>
      <c r="H99" s="34" t="n"/>
      <c r="I99" s="34" t="n"/>
      <c r="J99" s="34" t="n"/>
      <c r="K99" s="34" t="n"/>
    </row>
    <row r="100">
      <c r="A100" s="3" t="inlineStr">
        <is>
          <t xml:space="preserve">  Rapeseed Oil (1L)</t>
        </is>
      </c>
      <c r="B100" s="34" t="n"/>
      <c r="C100" s="34" t="n"/>
      <c r="D100" s="34" t="n"/>
      <c r="E100" s="16" t="n">
        <v>0.02777597383431951</v>
      </c>
      <c r="F100" s="16" t="n">
        <v>0.01245379644188584</v>
      </c>
      <c r="G100" s="20" t="n">
        <v>-0.01532217739243367</v>
      </c>
      <c r="H100" s="34" t="n"/>
      <c r="I100" s="34" t="n"/>
      <c r="J100" s="34" t="n"/>
      <c r="K100" s="34" t="n"/>
    </row>
    <row r="101">
      <c r="A101" s="3" t="inlineStr">
        <is>
          <t xml:space="preserve">  Beer (0.5L glass)</t>
        </is>
      </c>
      <c r="B101" s="34" t="n"/>
      <c r="C101" s="34" t="n"/>
      <c r="D101" s="34" t="n"/>
      <c r="E101" s="16" t="n">
        <v>0.001284869823646378</v>
      </c>
      <c r="F101" s="16" t="n">
        <v>0.0005760916730934766</v>
      </c>
      <c r="G101" s="20" t="n">
        <v>-0.0007087781505529018</v>
      </c>
      <c r="H101" s="34" t="n"/>
      <c r="I101" s="34" t="n"/>
      <c r="J101" s="34" t="n"/>
      <c r="K101" s="34" t="n"/>
    </row>
    <row r="102">
      <c r="A102" s="3" t="inlineStr">
        <is>
          <t xml:space="preserve">  Refined Sugar (1 kg)</t>
        </is>
      </c>
      <c r="B102" s="34" t="n"/>
      <c r="C102" s="34" t="n"/>
      <c r="D102" s="34" t="n"/>
      <c r="E102" s="16" t="n">
        <v>0.004872029804024916</v>
      </c>
      <c r="F102" s="16" t="n">
        <v>0.002184451490343714</v>
      </c>
      <c r="G102" s="20" t="n">
        <v>-0.002687578313681202</v>
      </c>
      <c r="H102" s="34" t="n"/>
      <c r="I102" s="34" t="n"/>
      <c r="J102" s="34" t="n"/>
      <c r="K102" s="34" t="n"/>
    </row>
    <row r="103">
      <c r="A103" s="31" t="inlineStr">
        <is>
          <t>ANIMAL PRODUCTS</t>
        </is>
      </c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8" t="n"/>
    </row>
    <row r="104">
      <c r="A104" s="3" t="inlineStr">
        <is>
          <t xml:space="preserve">  Chicken Breast (100g)</t>
        </is>
      </c>
      <c r="B104" s="34" t="n"/>
      <c r="C104" s="34" t="n"/>
      <c r="D104" s="34" t="n"/>
      <c r="E104" s="16" t="n">
        <v>0.006127869129233111</v>
      </c>
      <c r="F104" s="16" t="n">
        <v>0.002747526881080642</v>
      </c>
      <c r="G104" s="20" t="n">
        <v>-0.003380342248152469</v>
      </c>
      <c r="H104" s="34" t="n"/>
      <c r="I104" s="34" t="n"/>
      <c r="J104" s="34" t="n"/>
      <c r="K104" s="34" t="n"/>
    </row>
    <row r="105">
      <c r="A105" s="3" t="inlineStr">
        <is>
          <t xml:space="preserve">  Milk (1L)</t>
        </is>
      </c>
      <c r="B105" s="34" t="n"/>
      <c r="C105" s="34" t="n"/>
      <c r="D105" s="34" t="n"/>
      <c r="E105" s="16" t="n">
        <v>0.007360718140170783</v>
      </c>
      <c r="F105" s="16" t="n">
        <v>0.003300294201405065</v>
      </c>
      <c r="G105" s="20" t="n">
        <v>-0.004060423938765718</v>
      </c>
      <c r="H105" s="34" t="n"/>
      <c r="I105" s="34" t="n"/>
      <c r="J105" s="34" t="n"/>
      <c r="K105" s="34" t="n"/>
    </row>
    <row r="106">
      <c r="A106" s="3" t="inlineStr">
        <is>
          <t xml:space="preserve">  Eggs (10 eggs)</t>
        </is>
      </c>
      <c r="B106" s="34" t="n"/>
      <c r="C106" s="34" t="n"/>
      <c r="D106" s="34" t="n"/>
      <c r="E106" s="16" t="n">
        <v>0.00865519658709954</v>
      </c>
      <c r="F106" s="16" t="n">
        <v>0.003880694052464119</v>
      </c>
      <c r="G106" s="20" t="n">
        <v>-0.004774502534635421</v>
      </c>
      <c r="H106" s="34" t="n"/>
      <c r="I106" s="34" t="n"/>
      <c r="J106" s="34" t="n"/>
      <c r="K106" s="34" t="n"/>
    </row>
    <row r="107">
      <c r="A107" s="3" t="inlineStr">
        <is>
          <t xml:space="preserve">  Ø Meat (C101)</t>
        </is>
      </c>
      <c r="B107" s="34" t="n"/>
      <c r="C107" s="34" t="n"/>
      <c r="D107" s="34" t="n"/>
      <c r="E107" s="16" t="n">
        <v>0.01336152106740583</v>
      </c>
      <c r="F107" s="16" t="n">
        <v>0.005990848944487353</v>
      </c>
      <c r="G107" s="20" t="n">
        <v>-0.007370672122918472</v>
      </c>
      <c r="H107" s="34" t="n"/>
      <c r="I107" s="34" t="n"/>
      <c r="J107" s="34" t="n"/>
      <c r="K107" s="34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</row>
    <row r="109" ht="26.65" customHeight="1">
      <c r="A109" s="18" t="inlineStr">
        <is>
          <t>Green Premium Factor (overall)</t>
        </is>
      </c>
      <c r="B109" s="34" t="n"/>
      <c r="C109" s="34" t="n"/>
      <c r="D109" s="34" t="n"/>
      <c r="E109" s="21" t="n">
        <v>0.6491681235194968</v>
      </c>
      <c r="F109" s="21" t="n">
        <v>0.291064778325922</v>
      </c>
      <c r="G109" s="22" t="n">
        <v>-0.3581033451935748</v>
      </c>
      <c r="H109" s="34" t="n"/>
      <c r="I109" s="35" t="inlineStr">
        <is>
          <t>Import reduces premium by 55% vs EU production</t>
        </is>
      </c>
      <c r="J109" s="34" t="n"/>
      <c r="K109" s="34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</row>
    <row r="111">
      <c r="A111" s="31" t="inlineStr">
        <is>
          <t>TRANSPORT COST SENSITIVITY</t>
        </is>
      </c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8" t="n"/>
    </row>
    <row r="112">
      <c r="A112" s="3" t="inlineStr">
        <is>
          <t xml:space="preserve">  Non-EU $610 + $40/t (minimum)</t>
        </is>
      </c>
      <c r="B112" s="34" t="n"/>
      <c r="C112" s="34" t="n"/>
      <c r="D112" s="34" t="n"/>
      <c r="E112" s="3" t="inlineStr">
        <is>
          <t>$650/t</t>
        </is>
      </c>
      <c r="F112" s="23" t="n">
        <v>0.2623399110644052</v>
      </c>
      <c r="G112" s="34" t="n"/>
      <c r="H112" s="34" t="n"/>
      <c r="I112" s="35" t="inlineStr">
        <is>
          <t>vs EU Low +42.1%, EU Central +64.9%</t>
        </is>
      </c>
      <c r="J112" s="34" t="n"/>
      <c r="K112" s="34" t="n"/>
    </row>
    <row r="113">
      <c r="A113" s="3" t="inlineStr">
        <is>
          <t xml:space="preserve">  Non-EU $610 + $70/t (central)</t>
        </is>
      </c>
      <c r="B113" s="34" t="n"/>
      <c r="C113" s="34" t="n"/>
      <c r="D113" s="34" t="n"/>
      <c r="E113" s="3" t="inlineStr">
        <is>
          <t>$680/t</t>
        </is>
      </c>
      <c r="F113" s="23" t="n">
        <v>0.291064778325922</v>
      </c>
      <c r="G113" s="34" t="n"/>
      <c r="H113" s="34" t="n"/>
      <c r="I113" s="35" t="inlineStr">
        <is>
          <t>vs EU Low +42.1%, EU Central +64.9%</t>
        </is>
      </c>
      <c r="J113" s="34" t="n"/>
      <c r="K113" s="34" t="n"/>
    </row>
    <row r="114">
      <c r="A114" s="36" t="inlineStr">
        <is>
          <t xml:space="preserve">  Non-EU $610 + $100/t (conservative)</t>
        </is>
      </c>
      <c r="B114" s="34" t="n"/>
      <c r="C114" s="34" t="n"/>
      <c r="D114" s="34" t="n"/>
      <c r="E114" s="3" t="inlineStr">
        <is>
          <t>$710/t</t>
        </is>
      </c>
      <c r="F114" s="23" t="n">
        <v>0.3197896455874387</v>
      </c>
      <c r="G114" s="34" t="n"/>
      <c r="H114" s="34" t="n"/>
      <c r="I114" s="35" t="inlineStr">
        <is>
          <t>vs EU Low +42.1%, EU Central +64.9%</t>
        </is>
      </c>
      <c r="J114" s="34" t="n"/>
      <c r="K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</row>
    <row r="117">
      <c r="A117" s="31" t="inlineStr">
        <is>
          <t>REFERENCE PRODUCTS</t>
        </is>
      </c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8" t="n"/>
    </row>
    <row r="118">
      <c r="A118" s="6" t="inlineStr">
        <is>
          <t>Refined Sugar (1 kg)</t>
        </is>
      </c>
      <c r="B118" s="34" t="n"/>
      <c r="C118" s="24" t="n">
        <v>0.003161752695318697</v>
      </c>
      <c r="D118" s="24" t="n">
        <v>0.004872029804024916</v>
      </c>
      <c r="E118" s="24" t="n">
        <v>0.006697283525081133</v>
      </c>
      <c r="F118" s="34" t="n"/>
      <c r="G118" s="34" t="n"/>
      <c r="H118" s="34" t="n"/>
      <c r="I118" s="6" t="inlineStr">
        <is>
          <t>C108 upstream: GP at refinery node</t>
        </is>
      </c>
      <c r="J118" s="34" t="n"/>
      <c r="K118" s="34" t="n"/>
    </row>
    <row r="119">
      <c r="A119" s="6" t="inlineStr">
        <is>
          <t>Flour (1 kg)</t>
        </is>
      </c>
      <c r="B119" s="34" t="n"/>
      <c r="C119" s="24" t="n">
        <v>0.01120354579673277</v>
      </c>
      <c r="D119" s="24" t="n">
        <v>0.01726384518095215</v>
      </c>
      <c r="E119" s="24" t="n">
        <v>0.02373155964982493</v>
      </c>
      <c r="F119" s="34" t="n"/>
      <c r="G119" s="34" t="n"/>
      <c r="H119" s="34" t="n"/>
      <c r="I119" s="6" t="inlineStr">
        <is>
          <t>C106 upstream: GP at milling node</t>
        </is>
      </c>
      <c r="J119" s="34" t="n"/>
      <c r="K119" s="34" t="n"/>
    </row>
    <row r="120">
      <c r="A120" s="6" t="inlineStr">
        <is>
          <t>Frozen Fries (1 kg)</t>
        </is>
      </c>
      <c r="B120" s="34" t="n"/>
      <c r="C120" s="24" t="n">
        <v>0.001296557596255469</v>
      </c>
      <c r="D120" s="24" t="n">
        <v>0.001997900487582197</v>
      </c>
      <c r="E120" s="24" t="n">
        <v>0.002746392480846855</v>
      </c>
      <c r="F120" s="34" t="n"/>
      <c r="G120" s="34" t="n"/>
      <c r="H120" s="34" t="n"/>
      <c r="I120" s="6" t="inlineStr">
        <is>
          <t>Reference for normalization</t>
        </is>
      </c>
      <c r="J120" s="34" t="n"/>
      <c r="K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</row>
    <row r="123">
      <c r="A123" s="31" t="inlineStr">
        <is>
          <t>NOTES</t>
        </is>
      </c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8" t="n"/>
    </row>
    <row r="124">
      <c r="A124" s="3" t="inlineStr">
        <is>
          <t>•</t>
        </is>
      </c>
      <c r="B124" s="35" t="inlineStr">
        <is>
          <t>GREEN PREMIUM DERIVATION: Differential approach. ΔLCOA × stoichiometric NH₃ input + CO₂ cost for urea. EU mix: 64.2% AN + 32.1% Urea. CO₂ at $150/t. Fossil ref incl. 2025 EU ETS (€70/t CO₂ [S22], 1.8 t CO₂/t [S21], 10% eff. rate [S23]). See Methodology.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8" t="n"/>
    </row>
    <row r="125">
      <c r="A125" s="3" t="inlineStr">
        <is>
          <t>•</t>
        </is>
      </c>
      <c r="B125" s="35" t="inlineStr">
        <is>
          <t>RANKING STABILITY: Identical across all scenarios – depends on relative N intensity per € product value, not absolute premium.</t>
        </is>
      </c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8" t="n"/>
    </row>
    <row r="126">
      <c r="A126" s="3" t="inlineStr">
        <is>
          <t>•</t>
        </is>
      </c>
      <c r="B126" s="35" t="inlineStr">
        <is>
          <t>EGGS vs MEAT: Eggs rank above weighted meat average due to lower retail price per kg despite similar N intensity.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8" t="n"/>
    </row>
  </sheetData>
  <mergeCells count="31">
    <mergeCell ref="A48:K48"/>
    <mergeCell ref="A30:K30"/>
    <mergeCell ref="A73:K73"/>
    <mergeCell ref="A49:K49"/>
    <mergeCell ref="A98:K98"/>
    <mergeCell ref="A123:K123"/>
    <mergeCell ref="A103:K103"/>
    <mergeCell ref="A1:K1"/>
    <mergeCell ref="B124:K124"/>
    <mergeCell ref="A61:K61"/>
    <mergeCell ref="A88:K88"/>
    <mergeCell ref="A87:K87"/>
    <mergeCell ref="B126:K126"/>
    <mergeCell ref="A16:K16"/>
    <mergeCell ref="B125:K125"/>
    <mergeCell ref="A86:K86"/>
    <mergeCell ref="A2:K2"/>
    <mergeCell ref="A33:K33"/>
    <mergeCell ref="A47:K47"/>
    <mergeCell ref="A42:K42"/>
    <mergeCell ref="A32:K32"/>
    <mergeCell ref="A5:K5"/>
    <mergeCell ref="A17:K17"/>
    <mergeCell ref="A91:K91"/>
    <mergeCell ref="A4:K4"/>
    <mergeCell ref="A62:K62"/>
    <mergeCell ref="A72:K72"/>
    <mergeCell ref="A43:K43"/>
    <mergeCell ref="A117:K117"/>
    <mergeCell ref="A111:K111"/>
    <mergeCell ref="A31:K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10" defaultColWidth="9.06640625" defaultRowHeight="14.25"/>
  <cols>
    <col width="11" customWidth="1" min="1" max="1"/>
    <col width="22" customWidth="1" min="2" max="2"/>
    <col width="10" customWidth="1" min="3" max="3"/>
    <col width="11" customWidth="1" min="4" max="4"/>
    <col width="12" customWidth="1" min="5" max="6"/>
    <col width="10" customWidth="1" min="7" max="7"/>
    <col width="16" customWidth="1" min="8" max="8"/>
    <col width="35" customWidth="1" min="9" max="9"/>
    <col width="22" customWidth="1" min="10" max="10"/>
  </cols>
  <sheetData>
    <row r="1">
      <c r="A1" s="31" t="inlineStr">
        <is>
          <t>LCOA LITERATURE DATABASE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>
      <c r="A2" s="33" t="inlineStr">
        <is>
          <t>Systematic review: 8 EU + 9 Non-EU studies with tabulated LCOA values (2022–2025). 3 qualitative + 3 excluded.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3">
      <c r="A3" s="33" t="inlineStr">
        <is>
          <t>All values in original currency. EU scenarios derived from median (see Sheet 5). FX: 1.08 EUR/USD.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8" t="n"/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</row>
    <row r="5">
      <c r="A5" s="2" t="inlineStr">
        <is>
          <t>ID</t>
        </is>
      </c>
      <c r="B5" s="2" t="inlineStr">
        <is>
          <t>Authors / Source</t>
        </is>
      </c>
      <c r="C5" s="2" t="inlineStr">
        <is>
          <t>Year</t>
        </is>
      </c>
      <c r="D5" s="2" t="inlineStr">
        <is>
          <t>Low ($/€)</t>
        </is>
      </c>
      <c r="E5" s="2" t="inlineStr">
        <is>
          <t>High ($/€)</t>
        </is>
      </c>
      <c r="F5" s="2" t="inlineStr">
        <is>
          <t>Base ($/€)</t>
        </is>
      </c>
      <c r="G5" s="2" t="inlineStr">
        <is>
          <t>Cur</t>
        </is>
      </c>
      <c r="H5" s="2" t="inlineStr">
        <is>
          <t>Technology</t>
        </is>
      </c>
      <c r="I5" s="2" t="inlineStr">
        <is>
          <t>Scope / Notes</t>
        </is>
      </c>
      <c r="J5" s="2" t="inlineStr">
        <is>
          <t>Status</t>
        </is>
      </c>
    </row>
    <row r="6" ht="28.5" customHeight="1">
      <c r="A6" s="3" t="inlineStr">
        <is>
          <t>EU-01</t>
        </is>
      </c>
      <c r="B6" s="3" t="inlineStr">
        <is>
          <t>Magnino et al.</t>
        </is>
      </c>
      <c r="C6" s="3" t="n">
        <v>2025</v>
      </c>
      <c r="D6" s="7" t="n">
        <v>723</v>
      </c>
      <c r="E6" s="7" t="n">
        <v>1368</v>
      </c>
      <c r="F6" s="7" t="n">
        <v>1046</v>
      </c>
      <c r="G6" s="3" t="inlineStr">
        <is>
          <t>EUR</t>
        </is>
      </c>
      <c r="H6" s="3" t="inlineStr">
        <is>
          <t>PEM</t>
        </is>
      </c>
      <c r="I6" s="36" t="inlineStr">
        <is>
          <t>PEMEC at 0.10 €/kWh (base), 0.04 (low). Adv. Appl. Energy. Tier 1.</t>
        </is>
      </c>
      <c r="J6" s="3" t="inlineStr">
        <is>
          <t>INCLUDED</t>
        </is>
      </c>
    </row>
    <row r="7" ht="28.5" customHeight="1">
      <c r="A7" s="3" t="inlineStr">
        <is>
          <t>EU-01b</t>
        </is>
      </c>
      <c r="B7" s="3" t="inlineStr">
        <is>
          <t>Magnino et al.</t>
        </is>
      </c>
      <c r="C7" s="3" t="n">
        <v>2025</v>
      </c>
      <c r="D7" s="7" t="n">
        <v>680</v>
      </c>
      <c r="E7" s="7" t="n">
        <v>1174</v>
      </c>
      <c r="F7" s="7" t="n">
        <v>927</v>
      </c>
      <c r="G7" s="3" t="inlineStr">
        <is>
          <t>EUR</t>
        </is>
      </c>
      <c r="H7" s="3" t="inlineStr">
        <is>
          <t>SOEC</t>
        </is>
      </c>
      <c r="I7" s="36" t="inlineStr">
        <is>
          <t>SOEC variant. Higher efficiency. Same boundary. Tier 1.</t>
        </is>
      </c>
      <c r="J7" s="3" t="inlineStr">
        <is>
          <t>INCLUDED</t>
        </is>
      </c>
    </row>
    <row r="8" ht="28.5" customHeight="1">
      <c r="A8" s="3" t="inlineStr">
        <is>
          <t>EU-02</t>
        </is>
      </c>
      <c r="B8" s="3" t="inlineStr">
        <is>
          <t>Moritz et al.</t>
        </is>
      </c>
      <c r="C8" s="3" t="n">
        <v>2023</v>
      </c>
      <c r="D8" s="7" t="n">
        <v>624</v>
      </c>
      <c r="E8" s="7" t="n">
        <v>874</v>
      </c>
      <c r="F8" s="7" t="n">
        <v>743</v>
      </c>
      <c r="G8" s="3" t="inlineStr">
        <is>
          <t>USD</t>
        </is>
      </c>
      <c r="H8" s="3" t="inlineStr">
        <is>
          <t>PEM + HB</t>
        </is>
      </c>
      <c r="I8" s="36" t="inlineStr">
        <is>
          <t>[flag] 2030 proj. Supply costs incl. transport to DE. Tier 1.</t>
        </is>
      </c>
      <c r="J8" s="3" t="inlineStr">
        <is>
          <t>EXCLUDED (transport)</t>
        </is>
      </c>
    </row>
    <row r="9" ht="28.5" customHeight="1">
      <c r="A9" s="3" t="inlineStr">
        <is>
          <t>EU-03</t>
        </is>
      </c>
      <c r="B9" s="3" t="inlineStr">
        <is>
          <t>DECHEMA/Ausfelder</t>
        </is>
      </c>
      <c r="C9" s="3" t="n">
        <v>2022</v>
      </c>
      <c r="D9" s="7" t="n">
        <v>760</v>
      </c>
      <c r="E9" s="7" t="n">
        <v>1350</v>
      </c>
      <c r="F9" s="7" t="n">
        <v>1035</v>
      </c>
      <c r="G9" s="3" t="inlineStr">
        <is>
          <t>EUR</t>
        </is>
      </c>
      <c r="H9" s="3" t="inlineStr">
        <is>
          <t>ALK/PEM</t>
        </is>
      </c>
      <c r="I9" s="36" t="inlineStr">
        <is>
          <t>4 EU regions: N 760, S 830, C 1200, W 1350. 2030 proj. Tier 2.</t>
        </is>
      </c>
      <c r="J9" s="3" t="inlineStr">
        <is>
          <t>INCLUDED</t>
        </is>
      </c>
    </row>
    <row r="10" ht="28.5" customHeight="1">
      <c r="A10" s="3" t="inlineStr">
        <is>
          <t>EU-04</t>
        </is>
      </c>
      <c r="B10" s="3" t="inlineStr">
        <is>
          <t>Smith &amp; Torrente-M.</t>
        </is>
      </c>
      <c r="C10" s="3" t="n">
        <v>2025</v>
      </c>
      <c r="D10" s="7" t="n">
        <v>925</v>
      </c>
      <c r="E10" s="7" t="n">
        <v>1240</v>
      </c>
      <c r="F10" s="7" t="n">
        <v>1030</v>
      </c>
      <c r="G10" s="3" t="inlineStr">
        <is>
          <t>USD</t>
        </is>
      </c>
      <c r="H10" s="3" t="inlineStr">
        <is>
          <t>PEM off-grid</t>
        </is>
      </c>
      <c r="I10" s="36" t="inlineStr">
        <is>
          <t>Nature Chem. Eng. Best 2% EU locations. 4,500+ sites. Tier 1.</t>
        </is>
      </c>
      <c r="J10" s="3" t="inlineStr">
        <is>
          <t>INCLUDED</t>
        </is>
      </c>
    </row>
    <row r="11" ht="28.5" customHeight="1">
      <c r="A11" s="3" t="inlineStr">
        <is>
          <t>EU-05</t>
        </is>
      </c>
      <c r="B11" s="3" t="inlineStr">
        <is>
          <t>Vinardell et al.</t>
        </is>
      </c>
      <c r="C11" s="3" t="n">
        <v>2023</v>
      </c>
      <c r="D11" s="7" t="n">
        <v>600</v>
      </c>
      <c r="E11" s="7" t="n">
        <v>900</v>
      </c>
      <c r="F11" s="7" t="n">
        <v>700</v>
      </c>
      <c r="G11" s="3" t="inlineStr">
        <is>
          <t>EUR</t>
        </is>
      </c>
      <c r="H11" s="3" t="inlineStr">
        <is>
          <t>PEM off-grid</t>
        </is>
      </c>
      <c r="I11" s="36" t="inlineStr">
        <is>
          <t>Spain. 430 kt/yr. Incl. O₂ revenue. ACS Sust. Chem. Eng. Tier 1.</t>
        </is>
      </c>
      <c r="J11" s="3" t="inlineStr">
        <is>
          <t>INCLUDED</t>
        </is>
      </c>
    </row>
    <row r="12" ht="28.5" customHeight="1">
      <c r="A12" s="3" t="inlineStr">
        <is>
          <t>EU-06</t>
        </is>
      </c>
      <c r="B12" s="3" t="inlineStr">
        <is>
          <t>Sousa et al.</t>
        </is>
      </c>
      <c r="C12" s="3" t="n">
        <v>2022</v>
      </c>
      <c r="D12" s="7" t="n">
        <v>750</v>
      </c>
      <c r="E12" s="7" t="n">
        <v>1248</v>
      </c>
      <c r="F12" s="7" t="n">
        <v>999</v>
      </c>
      <c r="G12" s="3" t="inlineStr">
        <is>
          <t>EUR</t>
        </is>
      </c>
      <c r="H12" s="3" t="inlineStr">
        <is>
          <t>PEM hydro</t>
        </is>
      </c>
      <c r="I12" s="36" t="inlineStr">
        <is>
          <t>Norway. 30 MW. Hydropower 0.02–0.04 €/kWh. I&amp;EC Res. Tier 1.</t>
        </is>
      </c>
      <c r="J12" s="3" t="inlineStr">
        <is>
          <t>INCLUDED</t>
        </is>
      </c>
    </row>
    <row r="13" ht="28.5" customHeight="1">
      <c r="A13" s="3" t="inlineStr">
        <is>
          <t>EU-07</t>
        </is>
      </c>
      <c r="B13" s="3" t="inlineStr">
        <is>
          <t>Cameli et al.</t>
        </is>
      </c>
      <c r="C13" s="3" t="n">
        <v>2024</v>
      </c>
      <c r="D13" s="7" t="n">
        <v>915</v>
      </c>
      <c r="E13" s="7" t="n">
        <v>915</v>
      </c>
      <c r="F13" s="7" t="n">
        <v>915</v>
      </c>
      <c r="G13" s="3" t="inlineStr">
        <is>
          <t>USD</t>
        </is>
      </c>
      <c r="H13" s="3" t="inlineStr">
        <is>
          <t>AEL</t>
        </is>
      </c>
      <c r="I13" s="36" t="inlineStr">
        <is>
          <t>France/Belgium. 50 kt/yr. 2019 tech only (2050 proj. excluded). Tier 1.</t>
        </is>
      </c>
      <c r="J13" s="3" t="inlineStr">
        <is>
          <t>INCLUDED</t>
        </is>
      </c>
    </row>
    <row r="14" ht="28.5" customHeight="1">
      <c r="A14" s="3" t="inlineStr">
        <is>
          <t>EU-08</t>
        </is>
      </c>
      <c r="B14" s="3" t="inlineStr">
        <is>
          <t>Mingolla et al.</t>
        </is>
      </c>
      <c r="C14" s="3" t="n">
        <v>2024</v>
      </c>
      <c r="D14" s="7" t="n">
        <v>762</v>
      </c>
      <c r="E14" s="7" t="n">
        <v>2325</v>
      </c>
      <c r="F14" s="7" t="n">
        <v>1544</v>
      </c>
      <c r="G14" s="3" t="inlineStr">
        <is>
          <t>EUR</t>
        </is>
      </c>
      <c r="H14" s="3" t="inlineStr">
        <is>
          <t>AEL/PEM flex</t>
        </is>
      </c>
      <c r="I14" s="36" t="inlineStr">
        <is>
          <t>SSRN preprint. 5 EU zones. Wind-dom 762, Low-cap 2325. Tier 2.</t>
        </is>
      </c>
      <c r="J14" s="3" t="inlineStr">
        <is>
          <t>INCLUDED</t>
        </is>
      </c>
    </row>
    <row r="15">
      <c r="A15" s="31" t="inlineStr">
        <is>
          <t>NON-EU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8" t="n"/>
    </row>
    <row r="16" ht="28.5" customHeight="1">
      <c r="A16" s="3" t="inlineStr">
        <is>
          <t>NONEU-01</t>
        </is>
      </c>
      <c r="B16" s="3" t="inlineStr">
        <is>
          <t>Butterworth/CRU</t>
        </is>
      </c>
      <c r="C16" s="3" t="n">
        <v>2022</v>
      </c>
      <c r="D16" s="7" t="n">
        <v>610</v>
      </c>
      <c r="E16" s="7" t="n">
        <v>945</v>
      </c>
      <c r="F16" s="7" t="n">
        <v>945</v>
      </c>
      <c r="G16" s="3" t="inlineStr">
        <is>
          <t>USD</t>
        </is>
      </c>
      <c r="H16" s="3" t="inlineStr">
        <is>
          <t>PEM wind+solar</t>
        </is>
      </c>
      <c r="I16" s="36" t="inlineStr">
        <is>
          <t>W. Australia. 6.5 Mt/yr mega-project. Tier 2.</t>
        </is>
      </c>
      <c r="J16" s="3" t="inlineStr">
        <is>
          <t>INCLUDED</t>
        </is>
      </c>
    </row>
    <row r="17">
      <c r="A17" s="3" t="inlineStr">
        <is>
          <t>NONEU-02a</t>
        </is>
      </c>
      <c r="B17" s="3" t="inlineStr">
        <is>
          <t>Campion et al.</t>
        </is>
      </c>
      <c r="C17" s="3" t="n">
        <v>2023</v>
      </c>
      <c r="D17" s="7" t="n">
        <v>759</v>
      </c>
      <c r="E17" s="7" t="n">
        <v>842</v>
      </c>
      <c r="F17" s="7" t="n">
        <v>842</v>
      </c>
      <c r="G17" s="3" t="inlineStr">
        <is>
          <t>EUR</t>
        </is>
      </c>
      <c r="H17" s="3" t="inlineStr">
        <is>
          <t>AEC off-grid</t>
        </is>
      </c>
      <c r="I17" s="36" t="inlineStr">
        <is>
          <t>N. Chile (solar+). 430 kt/yr. RSER. Tier 1.</t>
        </is>
      </c>
      <c r="J17" s="3" t="inlineStr">
        <is>
          <t>INCLUDED</t>
        </is>
      </c>
    </row>
    <row r="18" ht="28.5" customHeight="1">
      <c r="A18" s="3" t="inlineStr">
        <is>
          <t>NONEU-02b</t>
        </is>
      </c>
      <c r="B18" s="3" t="inlineStr">
        <is>
          <t>Campion et al.</t>
        </is>
      </c>
      <c r="C18" s="3" t="n">
        <v>2023</v>
      </c>
      <c r="D18" s="7" t="n">
        <v>807</v>
      </c>
      <c r="E18" s="7" t="n">
        <v>951</v>
      </c>
      <c r="F18" s="7" t="n">
        <v>951</v>
      </c>
      <c r="G18" s="3" t="inlineStr">
        <is>
          <t>EUR</t>
        </is>
      </c>
      <c r="H18" s="3" t="inlineStr">
        <is>
          <t>AEC off-grid</t>
        </is>
      </c>
      <c r="I18" s="36" t="inlineStr">
        <is>
          <t>S. Australia (wind/solar). Same method. Tier 1.</t>
        </is>
      </c>
      <c r="J18" s="3" t="inlineStr">
        <is>
          <t>INCLUDED</t>
        </is>
      </c>
    </row>
    <row r="19" ht="28.5" customHeight="1">
      <c r="A19" s="3" t="inlineStr">
        <is>
          <t>NONEU-03</t>
        </is>
      </c>
      <c r="B19" s="3" t="inlineStr">
        <is>
          <t>Tully et al.</t>
        </is>
      </c>
      <c r="C19" s="3" t="n">
        <v>2025</v>
      </c>
      <c r="D19" s="7" t="n">
        <v>508</v>
      </c>
      <c r="E19" s="7" t="n">
        <v>636</v>
      </c>
      <c r="F19" s="7" t="n">
        <v>508</v>
      </c>
      <c r="G19" s="3" t="inlineStr">
        <is>
          <t>USD</t>
        </is>
      </c>
      <c r="H19" s="3" t="inlineStr">
        <is>
          <t>PEM off-grid</t>
        </is>
      </c>
      <c r="I19" s="36" t="inlineStr">
        <is>
          <t>USA TX+IA. 1 GW. BAT flexibility. IJHE. Tier 1.</t>
        </is>
      </c>
      <c r="J19" s="3" t="inlineStr">
        <is>
          <t>INCLUDED</t>
        </is>
      </c>
    </row>
    <row r="20" ht="28.5" customHeight="1">
      <c r="A20" s="3" t="inlineStr">
        <is>
          <t>NONEU-04</t>
        </is>
      </c>
      <c r="B20" s="3" t="inlineStr">
        <is>
          <t>Pan et al.</t>
        </is>
      </c>
      <c r="C20" s="3" t="n">
        <v>2023</v>
      </c>
      <c r="D20" s="7" t="n">
        <v>469</v>
      </c>
      <c r="E20" s="7" t="n">
        <v>469</v>
      </c>
      <c r="F20" s="7" t="n">
        <v>469</v>
      </c>
      <c r="G20" s="3" t="inlineStr">
        <is>
          <t>USD</t>
        </is>
      </c>
      <c r="H20" s="3" t="inlineStr">
        <is>
          <t>AEL wind+solar</t>
        </is>
      </c>
      <c r="I20" s="36" t="inlineStr">
        <is>
          <t>China Inner Mongolia. C2A retrofit. iScience. Tier 1.</t>
        </is>
      </c>
      <c r="J20" s="3" t="inlineStr">
        <is>
          <t>INCLUDED</t>
        </is>
      </c>
    </row>
    <row r="21" ht="28.5" customHeight="1">
      <c r="A21" s="3" t="inlineStr">
        <is>
          <t>NONEU-05</t>
        </is>
      </c>
      <c r="B21" s="3" t="inlineStr">
        <is>
          <t>Schueler et al.</t>
        </is>
      </c>
      <c r="C21" s="3" t="n">
        <v>2024</v>
      </c>
      <c r="D21" s="7" t="n">
        <v>508</v>
      </c>
      <c r="E21" s="7" t="n">
        <v>704</v>
      </c>
      <c r="F21" s="7" t="n">
        <v>508</v>
      </c>
      <c r="G21" s="3" t="inlineStr">
        <is>
          <t>USD</t>
        </is>
      </c>
      <c r="H21" s="3" t="inlineStr">
        <is>
          <t>Wind/Solar</t>
        </is>
      </c>
      <c r="I21" s="36" t="inlineStr">
        <is>
          <t>US+CA 41 facilities. Wind $508, Solar $704 medians. ERL. Tier 1.</t>
        </is>
      </c>
      <c r="J21" s="3" t="inlineStr">
        <is>
          <t>INCLUDED</t>
        </is>
      </c>
    </row>
    <row r="22" ht="28.5" customHeight="1">
      <c r="A22" s="3" t="inlineStr">
        <is>
          <t>NONEU-06</t>
        </is>
      </c>
      <c r="B22" s="3" t="inlineStr">
        <is>
          <t>Lee et al.</t>
        </is>
      </c>
      <c r="C22" s="3" t="n">
        <v>2022</v>
      </c>
      <c r="D22" s="7" t="n">
        <v>920</v>
      </c>
      <c r="E22" s="7" t="n">
        <v>1060</v>
      </c>
      <c r="F22" s="7" t="n">
        <v>920</v>
      </c>
      <c r="G22" s="3" t="inlineStr">
        <is>
          <t>USD</t>
        </is>
      </c>
      <c r="H22" s="3" t="inlineStr">
        <is>
          <t>PEM renewable</t>
        </is>
      </c>
      <c r="I22" s="36" t="inlineStr">
        <is>
          <t>USA Argonne. 2022 electrolyzer costs. Green Chem. Tier 1.</t>
        </is>
      </c>
      <c r="J22" s="3" t="inlineStr">
        <is>
          <t>INCLUDED</t>
        </is>
      </c>
    </row>
    <row r="23" ht="28.5" customHeight="1">
      <c r="A23" s="3" t="inlineStr">
        <is>
          <t>NONEU-07</t>
        </is>
      </c>
      <c r="B23" s="3" t="inlineStr">
        <is>
          <t>Reznicek et al./NREL</t>
        </is>
      </c>
      <c r="C23" s="3" t="n">
        <v>2025</v>
      </c>
      <c r="D23" s="25" t="n"/>
      <c r="E23" s="25" t="n"/>
      <c r="F23" s="25" t="n"/>
      <c r="G23" s="3" t="inlineStr">
        <is>
          <t>USD</t>
        </is>
      </c>
      <c r="H23" s="3" t="inlineStr">
        <is>
          <t>Multiple</t>
        </is>
      </c>
      <c r="I23" s="36" t="inlineStr">
        <is>
          <t>NREL multi-lab. LCOA graphical only. Cell Rep. Sust. Tier 1.</t>
        </is>
      </c>
      <c r="J23" s="3" t="inlineStr">
        <is>
          <t>QUALITATIVE</t>
        </is>
      </c>
    </row>
    <row r="24" ht="28.5" customHeight="1">
      <c r="A24" s="3" t="inlineStr">
        <is>
          <t>NONEU-08</t>
        </is>
      </c>
      <c r="B24" s="3" t="inlineStr">
        <is>
          <t>Saygin et al./IRENA</t>
        </is>
      </c>
      <c r="C24" s="3" t="n">
        <v>2023</v>
      </c>
      <c r="D24" s="7" t="n">
        <v>400</v>
      </c>
      <c r="E24" s="7" t="n">
        <v>1670</v>
      </c>
      <c r="F24" s="7" t="n">
        <v>730</v>
      </c>
      <c r="G24" s="3" t="inlineStr">
        <is>
          <t>USD</t>
        </is>
      </c>
      <c r="H24" s="3" t="inlineStr">
        <is>
          <t>AEL review</t>
        </is>
      </c>
      <c r="I24" s="36" t="inlineStr">
        <is>
          <t>Global review. $400–1,670. Sustainability (MDPI). Tier 2.</t>
        </is>
      </c>
      <c r="J24" s="3" t="inlineStr">
        <is>
          <t>INCLUDED</t>
        </is>
      </c>
    </row>
    <row r="25" ht="28.5" customHeight="1">
      <c r="A25" s="3" t="inlineStr">
        <is>
          <t>NONEU-09</t>
        </is>
      </c>
      <c r="B25" s="3" t="inlineStr">
        <is>
          <t>Smith &amp; Torrente-M.</t>
        </is>
      </c>
      <c r="C25" s="3" t="n">
        <v>2024</v>
      </c>
      <c r="D25" s="25" t="n"/>
      <c r="E25" s="25" t="n"/>
      <c r="F25" s="25" t="n"/>
      <c r="G25" s="3" t="inlineStr">
        <is>
          <t>USD</t>
        </is>
      </c>
      <c r="H25" s="3" t="inlineStr">
        <is>
          <t>Multiple</t>
        </is>
      </c>
      <c r="I25" s="36" t="inlineStr">
        <is>
          <t>Joule. Dynamic operation. LCOA in figures only.</t>
        </is>
      </c>
      <c r="J25" s="3" t="inlineStr">
        <is>
          <t>QUALITATIVE</t>
        </is>
      </c>
    </row>
    <row r="26">
      <c r="A26" s="3" t="inlineStr">
        <is>
          <t>NONEU-10</t>
        </is>
      </c>
      <c r="B26" s="3" t="inlineStr">
        <is>
          <t>Mersch et al.</t>
        </is>
      </c>
      <c r="C26" s="3" t="n">
        <v>2024</v>
      </c>
      <c r="D26" s="25" t="n"/>
      <c r="E26" s="25" t="n"/>
      <c r="F26" s="25" t="n"/>
      <c r="G26" s="3" t="inlineStr">
        <is>
          <t>USD</t>
        </is>
      </c>
      <c r="H26" s="3" t="inlineStr">
        <is>
          <t>Blue+Green</t>
        </is>
      </c>
      <c r="I26" s="36" t="inlineStr">
        <is>
          <t>Sust. E&amp;F. US policy. LCOA graphical only.</t>
        </is>
      </c>
      <c r="J26" s="3" t="inlineStr">
        <is>
          <t>QUALITATIVE</t>
        </is>
      </c>
    </row>
    <row r="27" ht="28.5" customHeight="1">
      <c r="A27" s="3" t="inlineStr">
        <is>
          <t>NONEU-11</t>
        </is>
      </c>
      <c r="B27" s="3" t="inlineStr">
        <is>
          <t>Biswas/Green et al.</t>
        </is>
      </c>
      <c r="C27" s="3" t="n">
        <v>2025</v>
      </c>
      <c r="D27" s="7" t="n">
        <v>861</v>
      </c>
      <c r="E27" s="7" t="n">
        <v>1351</v>
      </c>
      <c r="F27" s="7" t="n">
        <v>861</v>
      </c>
      <c r="G27" s="3" t="inlineStr">
        <is>
          <t>USD</t>
        </is>
      </c>
      <c r="H27" s="3" t="inlineStr">
        <is>
          <t>PEM wind</t>
        </is>
      </c>
      <c r="I27" s="36" t="inlineStr">
        <is>
          <t>MIT. Green $861–1,351. Blue $365–418. E&amp;F. Tier 1.</t>
        </is>
      </c>
      <c r="J27" s="3" t="inlineStr">
        <is>
          <t>INCLUDED</t>
        </is>
      </c>
    </row>
    <row r="28">
      <c r="A28" s="31" t="inlineStr">
        <is>
          <t>EXCLUDED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8" t="n"/>
    </row>
    <row r="29" ht="28.5" customHeight="1">
      <c r="A29" s="3" t="inlineStr">
        <is>
          <t>EXCL-01</t>
        </is>
      </c>
      <c r="B29" s="3" t="inlineStr">
        <is>
          <t>Arnaiz del Pozo</t>
        </is>
      </c>
      <c r="C29" s="3" t="n">
        <v>2022</v>
      </c>
      <c r="D29" s="7" t="n">
        <v>484</v>
      </c>
      <c r="E29" s="7" t="n">
        <v>772</v>
      </c>
      <c r="F29" s="3" t="n"/>
      <c r="G29" s="3" t="inlineStr">
        <is>
          <t>EUR</t>
        </is>
      </c>
      <c r="H29" s="3" t="inlineStr">
        <is>
          <t>PEM</t>
        </is>
      </c>
      <c r="I29" s="36" t="inlineStr">
        <is>
          <t>2050 projection. Primary focus: blue ammonia.</t>
        </is>
      </c>
      <c r="J29" s="3" t="inlineStr">
        <is>
          <t>EXCLUDED – 2050</t>
        </is>
      </c>
    </row>
    <row r="30">
      <c r="A30" s="3" t="inlineStr">
        <is>
          <t>EXCL-02</t>
        </is>
      </c>
      <c r="B30" s="3" t="inlineStr">
        <is>
          <t>Assowe Dabar et al.</t>
        </is>
      </c>
      <c r="C30" s="3" t="n">
        <v>2024</v>
      </c>
      <c r="D30" s="7" t="n">
        <v>400</v>
      </c>
      <c r="E30" s="7" t="n">
        <v>537</v>
      </c>
      <c r="F30" s="3" t="n"/>
      <c r="G30" s="3" t="inlineStr">
        <is>
          <t>USD</t>
        </is>
      </c>
      <c r="H30" s="3" t="inlineStr">
        <is>
          <t>AEL</t>
        </is>
      </c>
      <c r="I30" s="36" t="inlineStr">
        <is>
          <t>Djibouti. Internal calculation errors.</t>
        </is>
      </c>
      <c r="J30" s="3" t="inlineStr">
        <is>
          <t>EXCLUDED – errors</t>
        </is>
      </c>
    </row>
    <row r="31" ht="28.5" customHeight="1">
      <c r="A31" s="3" t="inlineStr">
        <is>
          <t>EXCL-03</t>
        </is>
      </c>
      <c r="B31" s="3" t="inlineStr">
        <is>
          <t>Palys &amp; Daoutidis</t>
        </is>
      </c>
      <c r="C31" s="3" t="n">
        <v>2024</v>
      </c>
      <c r="D31" s="3" t="n"/>
      <c r="E31" s="3" t="n"/>
      <c r="F31" s="3" t="n"/>
      <c r="G31" s="3" t="inlineStr">
        <is>
          <t>USD</t>
        </is>
      </c>
      <c r="H31" s="3" t="inlineStr">
        <is>
          <t>PEM+Urea</t>
        </is>
      </c>
      <c r="I31" s="36" t="inlineStr">
        <is>
          <t>Reports LCOU not LCOA. Used for cross-validation.</t>
        </is>
      </c>
      <c r="J31" s="3" t="inlineStr">
        <is>
          <t>EXCLUDED – urea</t>
        </is>
      </c>
    </row>
  </sheetData>
  <mergeCells count="5">
    <mergeCell ref="A1:J1"/>
    <mergeCell ref="A3:J3"/>
    <mergeCell ref="A15:J15"/>
    <mergeCell ref="A2:J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10" defaultColWidth="9.06640625" defaultRowHeight="14.25"/>
  <cols>
    <col width="10" customWidth="1" min="1" max="1"/>
    <col width="35" customWidth="1" min="2" max="2"/>
    <col width="21" customWidth="1" min="3" max="3"/>
    <col width="20" customWidth="1" min="4" max="4"/>
    <col width="35" customWidth="1" min="5" max="5"/>
  </cols>
  <sheetData>
    <row r="1">
      <c r="A1" s="31" t="inlineStr">
        <is>
          <t>LCOA SUMMARY – EU SCENARIO CONSTRUCTION</t>
        </is>
      </c>
      <c r="B1" s="37" t="n"/>
      <c r="C1" s="37" t="n"/>
      <c r="D1" s="37" t="n"/>
      <c r="E1" s="38" t="n"/>
    </row>
    <row r="2">
      <c r="A2" s="33" t="inlineStr">
        <is>
          <t>Three scenarios derived from median across 8 EU LCOA studies (2022–2025). All values converted to USD at FX=1.08.</t>
        </is>
      </c>
      <c r="B2" s="37" t="n"/>
      <c r="C2" s="37" t="n"/>
      <c r="D2" s="37" t="n"/>
      <c r="E2" s="38" t="n"/>
    </row>
    <row r="3">
      <c r="A3" s="33" t="inlineStr">
        <is>
          <t>These scenarios are used to derive the Green Premium estimates in the main analysis.</t>
        </is>
      </c>
      <c r="B3" s="37" t="n"/>
      <c r="C3" s="37" t="n"/>
      <c r="D3" s="37" t="n"/>
      <c r="E3" s="38" t="n"/>
    </row>
    <row r="4">
      <c r="A4" s="34" t="n"/>
      <c r="B4" s="34" t="n"/>
      <c r="C4" s="34" t="n"/>
      <c r="D4" s="34" t="n"/>
      <c r="E4" s="34" t="n"/>
    </row>
    <row r="5">
      <c r="A5" s="31" t="inlineStr">
        <is>
          <t>A | EU STUDIES OVERVIEW (n=8)</t>
        </is>
      </c>
      <c r="B5" s="37" t="n"/>
      <c r="C5" s="37" t="n"/>
      <c r="D5" s="37" t="n"/>
      <c r="E5" s="38" t="n"/>
    </row>
    <row r="6">
      <c r="A6" s="34" t="n"/>
      <c r="B6" s="34" t="n"/>
      <c r="C6" s="34" t="n"/>
      <c r="D6" s="34" t="n"/>
      <c r="E6" s="34" t="n"/>
    </row>
    <row r="7">
      <c r="A7" s="2" t="inlineStr">
        <is>
          <t>Rank</t>
        </is>
      </c>
      <c r="B7" s="2" t="inlineStr">
        <is>
          <t>Study</t>
        </is>
      </c>
      <c r="C7" s="2" t="inlineStr">
        <is>
          <t>Year</t>
        </is>
      </c>
      <c r="D7" s="2" t="inlineStr">
        <is>
          <t>USD</t>
        </is>
      </c>
      <c r="E7" s="2" t="inlineStr">
        <is>
          <t>Context</t>
        </is>
      </c>
    </row>
    <row r="8">
      <c r="A8" s="31" t="inlineStr">
        <is>
          <t>LOW SCENARIO – Median of Low values</t>
        </is>
      </c>
      <c r="B8" s="37" t="n"/>
      <c r="C8" s="37" t="n"/>
      <c r="D8" s="37" t="n"/>
      <c r="E8" s="38" t="n"/>
    </row>
    <row r="9">
      <c r="A9" s="3" t="n">
        <v>1</v>
      </c>
      <c r="B9" s="3" t="inlineStr">
        <is>
          <t>EU-05 Vinardell (ACS)</t>
        </is>
      </c>
      <c r="C9" s="3" t="n">
        <v>2023</v>
      </c>
      <c r="D9" s="26" t="n">
        <v>648</v>
      </c>
      <c r="E9" s="35" t="inlineStr">
        <is>
          <t>Solar PV Spain, 430 kt/yr, incl. O₂ revenue</t>
        </is>
      </c>
    </row>
    <row r="10">
      <c r="A10" s="3" t="n">
        <v>2</v>
      </c>
      <c r="B10" s="3" t="inlineStr">
        <is>
          <t>EU-01b Magnino SOEC (AAE)</t>
        </is>
      </c>
      <c r="C10" s="3" t="n">
        <v>2025</v>
      </c>
      <c r="D10" s="26" t="n">
        <v>734</v>
      </c>
      <c r="E10" s="6" t="inlineStr">
        <is>
          <t>SOEC at 0.04 €/kWh dedicated RE</t>
        </is>
      </c>
    </row>
    <row r="11">
      <c r="A11" s="3" t="n">
        <v>3</v>
      </c>
      <c r="B11" s="3" t="inlineStr">
        <is>
          <t>EU-01 Magnino PEM (AAE)</t>
        </is>
      </c>
      <c r="C11" s="3" t="n">
        <v>2025</v>
      </c>
      <c r="D11" s="26" t="n">
        <v>781</v>
      </c>
      <c r="E11" s="6" t="inlineStr">
        <is>
          <t>PEM at 0.04 €/kWh dedicated RE</t>
        </is>
      </c>
    </row>
    <row r="12">
      <c r="A12" s="3" t="n">
        <v>4</v>
      </c>
      <c r="B12" s="18" t="inlineStr">
        <is>
          <t>EU-06 Sousa (I&amp;ECR)</t>
        </is>
      </c>
      <c r="C12" s="3" t="n">
        <v>2022</v>
      </c>
      <c r="D12" s="26" t="n">
        <v>810</v>
      </c>
      <c r="E12" s="6" t="inlineStr">
        <is>
          <t>◄ Hydropower Norway at 0.02 €/kWh</t>
        </is>
      </c>
    </row>
    <row r="13">
      <c r="A13" s="3" t="n">
        <v>5</v>
      </c>
      <c r="B13" s="18" t="inlineStr">
        <is>
          <t>EU-03 DECHEMA</t>
        </is>
      </c>
      <c r="C13" s="3" t="n">
        <v>2022</v>
      </c>
      <c r="D13" s="26" t="n">
        <v>821</v>
      </c>
      <c r="E13" s="6" t="inlineStr">
        <is>
          <t>◄ Northern Europe, best wind</t>
        </is>
      </c>
    </row>
    <row r="14">
      <c r="A14" s="3" t="n">
        <v>6</v>
      </c>
      <c r="B14" s="3" t="inlineStr">
        <is>
          <t>EU-08 Mingolla (SSRN)</t>
        </is>
      </c>
      <c r="C14" s="3" t="n">
        <v>2024</v>
      </c>
      <c r="D14" s="26" t="n">
        <v>823</v>
      </c>
      <c r="E14" s="6" t="inlineStr">
        <is>
          <t>Wind-dominated EU zone, flex</t>
        </is>
      </c>
    </row>
    <row r="15">
      <c r="A15" s="3" t="n">
        <v>7</v>
      </c>
      <c r="B15" s="3" t="inlineStr">
        <is>
          <t>EU-07 Cameli (IJHE)</t>
        </is>
      </c>
      <c r="C15" s="3" t="n">
        <v>2024</v>
      </c>
      <c r="D15" s="26" t="n">
        <v>915</v>
      </c>
      <c r="E15" s="6" t="inlineStr">
        <is>
          <t>AEL at 40 $/MWh, 2019 tech</t>
        </is>
      </c>
    </row>
    <row r="16">
      <c r="A16" s="3" t="n">
        <v>8</v>
      </c>
      <c r="B16" s="3" t="inlineStr">
        <is>
          <t>EU-04 Smith (Nat.C.E.)</t>
        </is>
      </c>
      <c r="C16" s="3" t="n">
        <v>2025</v>
      </c>
      <c r="D16" s="26" t="n">
        <v>925</v>
      </c>
      <c r="E16" s="6" t="inlineStr">
        <is>
          <t>Best 2% EU locations, off-grid</t>
        </is>
      </c>
    </row>
    <row r="17">
      <c r="A17" s="3" t="n"/>
      <c r="B17" s="18" t="inlineStr">
        <is>
          <t>→ Median = ($810 + $821) / 2 =</t>
        </is>
      </c>
      <c r="C17" s="34" t="n"/>
      <c r="D17" s="27" t="n">
        <v>815</v>
      </c>
      <c r="E17" s="34" t="n"/>
    </row>
    <row r="18">
      <c r="A18" s="34" t="n"/>
      <c r="B18" s="34" t="n"/>
      <c r="C18" s="34" t="n"/>
      <c r="D18" s="34" t="n"/>
      <c r="E18" s="34" t="n"/>
    </row>
    <row r="19">
      <c r="A19" s="31" t="inlineStr">
        <is>
          <t>CENTRAL SCENARIO – Median of Midpoints</t>
        </is>
      </c>
      <c r="B19" s="37" t="n"/>
      <c r="C19" s="37" t="n"/>
      <c r="D19" s="37" t="n"/>
      <c r="E19" s="38" t="n"/>
    </row>
    <row r="20">
      <c r="A20" s="3" t="n">
        <v>1</v>
      </c>
      <c r="B20" s="3" t="inlineStr">
        <is>
          <t>EU-05 Vinardell</t>
        </is>
      </c>
      <c r="C20" s="3" t="n">
        <v>2023</v>
      </c>
      <c r="D20" s="26" t="n">
        <v>810</v>
      </c>
      <c r="E20" s="6" t="inlineStr">
        <is>
          <t>Mid of $648–972</t>
        </is>
      </c>
    </row>
    <row r="21">
      <c r="A21" s="3" t="n">
        <v>2</v>
      </c>
      <c r="B21" s="3" t="inlineStr">
        <is>
          <t>EU-07 Cameli</t>
        </is>
      </c>
      <c r="C21" s="3" t="n">
        <v>2024</v>
      </c>
      <c r="D21" s="26" t="n">
        <v>915</v>
      </c>
      <c r="E21" s="6" t="inlineStr">
        <is>
          <t>Single value</t>
        </is>
      </c>
    </row>
    <row r="22">
      <c r="A22" s="3" t="n">
        <v>3</v>
      </c>
      <c r="B22" s="3" t="inlineStr">
        <is>
          <t>EU-01b Magnino SOEC</t>
        </is>
      </c>
      <c r="C22" s="3" t="n">
        <v>2025</v>
      </c>
      <c r="D22" s="26" t="n">
        <v>1001</v>
      </c>
      <c r="E22" s="6" t="inlineStr">
        <is>
          <t>Mid of $734–1,268</t>
        </is>
      </c>
    </row>
    <row r="23">
      <c r="A23" s="3" t="n">
        <v>4</v>
      </c>
      <c r="B23" s="18" t="inlineStr">
        <is>
          <t>EU-06 Sousa</t>
        </is>
      </c>
      <c r="C23" s="3" t="n">
        <v>2022</v>
      </c>
      <c r="D23" s="26" t="n">
        <v>1079</v>
      </c>
      <c r="E23" s="6" t="inlineStr">
        <is>
          <t>◄ Mid of $810–1,348</t>
        </is>
      </c>
    </row>
    <row r="24">
      <c r="A24" s="3" t="n">
        <v>5</v>
      </c>
      <c r="B24" s="18" t="inlineStr">
        <is>
          <t>EU-04 Smith</t>
        </is>
      </c>
      <c r="C24" s="3" t="n">
        <v>2025</v>
      </c>
      <c r="D24" s="26" t="n">
        <v>1082</v>
      </c>
      <c r="E24" s="6" t="inlineStr">
        <is>
          <t>◄ Mid of $925–1,240</t>
        </is>
      </c>
    </row>
    <row r="25">
      <c r="A25" s="3" t="n">
        <v>6</v>
      </c>
      <c r="B25" s="3" t="inlineStr">
        <is>
          <t>EU-01 Magnino PEM</t>
        </is>
      </c>
      <c r="C25" s="3" t="n">
        <v>2025</v>
      </c>
      <c r="D25" s="26" t="n">
        <v>1129</v>
      </c>
      <c r="E25" s="6" t="inlineStr">
        <is>
          <t>Mid of $781–1,477</t>
        </is>
      </c>
    </row>
    <row r="26">
      <c r="A26" s="3" t="n">
        <v>7</v>
      </c>
      <c r="B26" s="3" t="inlineStr">
        <is>
          <t>EU-03 DECHEMA</t>
        </is>
      </c>
      <c r="C26" s="3" t="n">
        <v>2022</v>
      </c>
      <c r="D26" s="26" t="n">
        <v>1139</v>
      </c>
      <c r="E26" s="6" t="inlineStr">
        <is>
          <t>Mid of $821–1,458</t>
        </is>
      </c>
    </row>
    <row r="27">
      <c r="A27" s="3" t="n">
        <v>8</v>
      </c>
      <c r="B27" s="3" t="inlineStr">
        <is>
          <t>EU-08 Mingolla</t>
        </is>
      </c>
      <c r="C27" s="3" t="n">
        <v>2024</v>
      </c>
      <c r="D27" s="26" t="n">
        <v>1667</v>
      </c>
      <c r="E27" s="6" t="inlineStr">
        <is>
          <t>Mid of $823–2,511</t>
        </is>
      </c>
    </row>
    <row r="28">
      <c r="A28" s="34" t="n"/>
      <c r="B28" s="18" t="inlineStr">
        <is>
          <t>→ Median = ($1,079 + $1,082) / 2 =</t>
        </is>
      </c>
      <c r="C28" s="34" t="n"/>
      <c r="D28" s="27" t="n">
        <v>1054</v>
      </c>
      <c r="E28" s="34" t="n"/>
    </row>
    <row r="29">
      <c r="A29" s="34" t="n"/>
      <c r="B29" s="34" t="n"/>
      <c r="C29" s="34" t="n"/>
      <c r="D29" s="34" t="n"/>
      <c r="E29" s="34" t="n"/>
    </row>
    <row r="30">
      <c r="A30" s="31" t="inlineStr">
        <is>
          <t>HIGH SCENARIO – Median of High values</t>
        </is>
      </c>
      <c r="B30" s="37" t="n"/>
      <c r="C30" s="37" t="n"/>
      <c r="D30" s="37" t="n"/>
      <c r="E30" s="38" t="n"/>
    </row>
    <row r="31">
      <c r="A31" s="3" t="n">
        <v>1</v>
      </c>
      <c r="B31" s="3" t="inlineStr">
        <is>
          <t>EU-07 Cameli</t>
        </is>
      </c>
      <c r="C31" s="3" t="n">
        <v>2024</v>
      </c>
      <c r="D31" s="26" t="n">
        <v>915</v>
      </c>
      <c r="E31" s="6" t="inlineStr">
        <is>
          <t>Single value</t>
        </is>
      </c>
    </row>
    <row r="32">
      <c r="A32" s="3" t="n">
        <v>2</v>
      </c>
      <c r="B32" s="3" t="inlineStr">
        <is>
          <t>EU-05 Vinardell</t>
        </is>
      </c>
      <c r="C32" s="3" t="n">
        <v>2023</v>
      </c>
      <c r="D32" s="26" t="n">
        <v>972</v>
      </c>
      <c r="E32" s="6" t="inlineStr">
        <is>
          <t>Wind off-grid Spain</t>
        </is>
      </c>
    </row>
    <row r="33">
      <c r="A33" s="3" t="n">
        <v>3</v>
      </c>
      <c r="B33" s="3" t="inlineStr">
        <is>
          <t>EU-04 Smith</t>
        </is>
      </c>
      <c r="C33" s="3" t="n">
        <v>2025</v>
      </c>
      <c r="D33" s="26" t="n">
        <v>1240</v>
      </c>
      <c r="E33" s="6" t="inlineStr">
        <is>
          <t>Broader EU locations</t>
        </is>
      </c>
    </row>
    <row r="34">
      <c r="A34" s="3" t="n">
        <v>4</v>
      </c>
      <c r="B34" s="18" t="inlineStr">
        <is>
          <t>EU-01b Magnino SOEC</t>
        </is>
      </c>
      <c r="C34" s="3" t="n">
        <v>2025</v>
      </c>
      <c r="D34" s="26" t="n">
        <v>1268</v>
      </c>
      <c r="E34" s="6" t="inlineStr">
        <is>
          <t>◄ SOEC at 0.10 €/kWh grid</t>
        </is>
      </c>
    </row>
    <row r="35">
      <c r="A35" s="3" t="n">
        <v>5</v>
      </c>
      <c r="B35" s="18" t="inlineStr">
        <is>
          <t>EU-06 Sousa</t>
        </is>
      </c>
      <c r="C35" s="3" t="n">
        <v>2022</v>
      </c>
      <c r="D35" s="26" t="n">
        <v>1348</v>
      </c>
      <c r="E35" s="6" t="inlineStr">
        <is>
          <t>◄ Hydropower at 0.04 €/kWh base</t>
        </is>
      </c>
    </row>
    <row r="36">
      <c r="A36" s="3" t="n">
        <v>6</v>
      </c>
      <c r="B36" s="3" t="inlineStr">
        <is>
          <t>EU-03 DECHEMA</t>
        </is>
      </c>
      <c r="C36" s="3" t="n">
        <v>2022</v>
      </c>
      <c r="D36" s="26" t="n">
        <v>1458</v>
      </c>
      <c r="E36" s="6" t="inlineStr">
        <is>
          <t>Western Europe, grid</t>
        </is>
      </c>
    </row>
    <row r="37">
      <c r="A37" s="3" t="n">
        <v>7</v>
      </c>
      <c r="B37" s="3" t="inlineStr">
        <is>
          <t>EU-01 Magnino PEM</t>
        </is>
      </c>
      <c r="C37" s="3" t="n">
        <v>2025</v>
      </c>
      <c r="D37" s="26" t="n">
        <v>1477</v>
      </c>
      <c r="E37" s="6" t="inlineStr">
        <is>
          <t>PEM at 0.10 €/kWh grid</t>
        </is>
      </c>
    </row>
    <row r="38">
      <c r="A38" s="3" t="n">
        <v>8</v>
      </c>
      <c r="B38" s="3" t="inlineStr">
        <is>
          <t>EU-08 Mingolla</t>
        </is>
      </c>
      <c r="C38" s="3" t="n">
        <v>2024</v>
      </c>
      <c r="D38" s="26" t="n">
        <v>2511</v>
      </c>
      <c r="E38" s="6" t="inlineStr">
        <is>
          <t>Low-capacity region</t>
        </is>
      </c>
    </row>
    <row r="39">
      <c r="A39" s="34" t="n"/>
      <c r="B39" s="18" t="inlineStr">
        <is>
          <t>→ Median = ($1,268 + $1,348) / 2 =</t>
        </is>
      </c>
      <c r="C39" s="34" t="n"/>
      <c r="D39" s="27" t="n">
        <v>1308</v>
      </c>
      <c r="E39" s="34" t="n"/>
    </row>
    <row r="40">
      <c r="A40" s="34" t="n"/>
      <c r="B40" s="34" t="n"/>
      <c r="C40" s="34" t="n"/>
      <c r="D40" s="34" t="n"/>
      <c r="E40" s="34" t="n"/>
    </row>
    <row r="41">
      <c r="A41" s="34" t="n"/>
      <c r="B41" s="34" t="n"/>
      <c r="C41" s="34" t="n"/>
      <c r="D41" s="34" t="n"/>
      <c r="E41" s="34" t="n"/>
    </row>
    <row r="42">
      <c r="A42" s="31" t="inlineStr">
        <is>
          <t>B | GREEN PREMIUM DERIVATION (incl. 2025 EU ETS)</t>
        </is>
      </c>
      <c r="B42" s="37" t="n"/>
      <c r="C42" s="37" t="n"/>
      <c r="D42" s="37" t="n"/>
      <c r="E42" s="38" t="n"/>
    </row>
    <row r="43">
      <c r="A43" s="33" t="inlineStr">
        <is>
          <t>Differential approach: ΔLCOA × stoichiometric NH₃ input + CO₂ cost for urea. Fossil ref includes 2025 EU ETS at ~10% effective rate (above-benchmark gap).</t>
        </is>
      </c>
      <c r="B43" s="37" t="n"/>
      <c r="C43" s="37" t="n"/>
      <c r="D43" s="37" t="n"/>
      <c r="E43" s="38" t="n"/>
    </row>
    <row r="44">
      <c r="A44" s="34" t="n"/>
      <c r="B44" s="34" t="n"/>
      <c r="C44" s="34" t="n"/>
      <c r="D44" s="34" t="n"/>
      <c r="E44" s="34" t="n"/>
    </row>
    <row r="45">
      <c r="A45" s="2" t="n"/>
      <c r="B45" s="2" t="inlineStr">
        <is>
          <t>Parameter</t>
        </is>
      </c>
      <c r="C45" s="2" t="inlineStr">
        <is>
          <t>Low</t>
        </is>
      </c>
      <c r="D45" s="2" t="inlineStr">
        <is>
          <t>Central</t>
        </is>
      </c>
      <c r="E45" s="2" t="inlineStr">
        <is>
          <t>High</t>
        </is>
      </c>
    </row>
    <row r="46">
      <c r="A46" s="34" t="n"/>
      <c r="B46" s="3" t="inlineStr">
        <is>
          <t>LCOA green ($/t NH₃)</t>
        </is>
      </c>
      <c r="C46" s="15" t="n">
        <v>816</v>
      </c>
      <c r="D46" s="15" t="n">
        <v>1054</v>
      </c>
      <c r="E46" s="15" t="n">
        <v>1308</v>
      </c>
    </row>
    <row r="47">
      <c r="A47" s="34" t="n"/>
      <c r="B47" s="36" t="inlineStr">
        <is>
          <t>Fossil ref ($/t) = $440 prod. + $14 ETS</t>
        </is>
      </c>
      <c r="C47" s="15" t="n">
        <v>453.608</v>
      </c>
      <c r="D47" s="15" t="n">
        <v>453.608</v>
      </c>
      <c r="E47" s="15" t="n">
        <v>453.608</v>
      </c>
    </row>
    <row r="48">
      <c r="A48" s="34" t="n"/>
      <c r="B48" s="3" t="inlineStr">
        <is>
          <t>ΔLCOA ($/t NH₃)</t>
        </is>
      </c>
      <c r="C48" s="15" t="n">
        <v>362.392</v>
      </c>
      <c r="D48" s="15" t="n">
        <v>600.3920000000001</v>
      </c>
      <c r="E48" s="15" t="n">
        <v>854.3920000000001</v>
      </c>
    </row>
    <row r="49">
      <c r="A49" s="34" t="n"/>
      <c r="B49" s="3" t="inlineStr">
        <is>
          <t>ΔAN = ΔLCOA × 0.425 ($/t)</t>
        </is>
      </c>
      <c r="C49" s="15" t="n">
        <v>154.0166</v>
      </c>
      <c r="D49" s="15" t="n">
        <v>255.1666</v>
      </c>
      <c r="E49" s="15" t="n">
        <v>363.1166</v>
      </c>
    </row>
    <row r="50">
      <c r="A50" s="34" t="n"/>
      <c r="B50" s="36" t="inlineStr">
        <is>
          <t>ΔUrea = ΔLCOA×0.567 + $150×0.733 ($/t)</t>
        </is>
      </c>
      <c r="C50" s="15" t="n">
        <v>315.426264</v>
      </c>
      <c r="D50" s="15" t="n">
        <v>450.372264</v>
      </c>
      <c r="E50" s="15" t="n">
        <v>594.390264</v>
      </c>
    </row>
    <row r="51">
      <c r="A51" s="34" t="n"/>
      <c r="B51" s="3" t="inlineStr">
        <is>
          <t>ΔMix ($/t fert. mix)</t>
        </is>
      </c>
      <c r="C51" s="15" t="n">
        <v>200.130487944</v>
      </c>
      <c r="D51" s="15" t="n">
        <v>308.386453944</v>
      </c>
      <c r="E51" s="15" t="n">
        <v>423.920131944</v>
      </c>
    </row>
    <row r="52">
      <c r="A52" s="34" t="n"/>
      <c r="B52" s="3" t="inlineStr">
        <is>
          <t>ΔN (€/kg N)</t>
        </is>
      </c>
      <c r="C52" s="8" t="n">
        <v>0.5063005665452337</v>
      </c>
      <c r="D52" s="8" t="n">
        <v>0.7801721664238008</v>
      </c>
      <c r="E52" s="8" t="n">
        <v>1.072455302428658</v>
      </c>
    </row>
    <row r="53">
      <c r="A53" s="34" t="n"/>
      <c r="B53" s="3" t="inlineStr">
        <is>
          <t>GREEN PREMIUM FACTOR</t>
        </is>
      </c>
      <c r="C53" s="28" t="n">
        <v>0.4212151135983642</v>
      </c>
      <c r="D53" s="28" t="n">
        <v>0.6490617025156413</v>
      </c>
      <c r="E53" s="28" t="n">
        <v>0.8922257091752563</v>
      </c>
    </row>
    <row r="54">
      <c r="A54" s="34" t="n"/>
      <c r="B54" s="34" t="n"/>
      <c r="C54" s="34" t="n"/>
      <c r="D54" s="34" t="n"/>
      <c r="E54" s="34" t="n"/>
    </row>
    <row r="55">
      <c r="A55" s="31" t="inlineStr">
        <is>
          <t>C | KEY ASSUMPTIONS</t>
        </is>
      </c>
      <c r="B55" s="37" t="n"/>
      <c r="C55" s="37" t="n"/>
      <c r="D55" s="37" t="n"/>
      <c r="E55" s="38" t="n"/>
    </row>
    <row r="56">
      <c r="A56" s="34" t="n"/>
      <c r="B56" s="34" t="n"/>
      <c r="C56" s="34" t="n"/>
      <c r="D56" s="34" t="n"/>
      <c r="E56" s="34" t="n"/>
    </row>
    <row r="57">
      <c r="A57" s="34" t="n"/>
      <c r="B57" s="35" t="inlineStr">
        <is>
          <t>Currency: EUR → USD at fixed 1.08 (ECB avg 2022–2024). Year-specific rates shift median &lt;±5%.</t>
        </is>
      </c>
      <c r="C57" s="37" t="n"/>
      <c r="D57" s="37" t="n"/>
      <c r="E57" s="38" t="n"/>
    </row>
    <row r="58">
      <c r="A58" s="34" t="n"/>
      <c r="B58" s="35" t="inlineStr">
        <is>
          <t>Fossil reference: $440/t production cost + $14/t ETS surcharge (2025) = $454/t.</t>
        </is>
      </c>
      <c r="C58" s="37" t="n"/>
      <c r="D58" s="37" t="n"/>
      <c r="E58" s="38" t="n"/>
    </row>
    <row r="59">
      <c r="A59" s="34" t="n"/>
      <c r="B59" s="35" t="inlineStr">
        <is>
          <t>EU ETS 2025: €70/t CO₂ × 1.8 t CO₂/t NH₃ × 10% effective = €13/t. EC WAM scenario (dena/SKN 2025).</t>
        </is>
      </c>
      <c r="C59" s="37" t="n"/>
      <c r="D59" s="37" t="n"/>
      <c r="E59" s="38" t="n"/>
    </row>
    <row r="60">
      <c r="A60" s="34" t="n"/>
      <c r="B60" s="35" t="inlineStr">
        <is>
          <t>Free allocation: ~75% in 2025, phasing out to 0% by 2034 under CBAM (Reg. 2023/956). See Sheet 6 for projections.</t>
        </is>
      </c>
      <c r="C60" s="37" t="n"/>
      <c r="D60" s="37" t="n"/>
      <c r="E60" s="38" t="n"/>
    </row>
    <row r="61">
      <c r="A61" s="34" t="n"/>
      <c r="B61" s="35" t="inlineStr">
        <is>
          <t>CO₂ for urea: $150/t (base case). Above CCS point sources ($60–130), below DAC ($230–600).</t>
        </is>
      </c>
      <c r="C61" s="37" t="n"/>
      <c r="D61" s="37" t="n"/>
      <c r="E61" s="38" t="n"/>
    </row>
    <row r="62">
      <c r="A62" s="34" t="n"/>
      <c r="B62" s="35" t="inlineStr">
        <is>
          <t>EU mix: 64.2% AN + 32.1% Urea (after UAN decomposition). N-content mix: 0.366 kg N/kg.</t>
        </is>
      </c>
      <c r="C62" s="37" t="n"/>
      <c r="D62" s="37" t="n"/>
      <c r="E62" s="38" t="n"/>
    </row>
    <row r="63">
      <c r="A63" s="34" t="n"/>
      <c r="B63" s="35" t="inlineStr">
        <is>
          <t>Current-cost framing: 2022–2025 technology &amp; ETS costs. Cost reduction projections in Sheet 6.</t>
        </is>
      </c>
      <c r="C63" s="37" t="n"/>
      <c r="D63" s="37" t="n"/>
      <c r="E63" s="38" t="n"/>
    </row>
    <row r="64">
      <c r="A64" s="34" t="n"/>
      <c r="B64" s="35" t="inlineStr">
        <is>
          <t>EU-02 Moritz excluded from scenarios: transport costs bundled, cannot isolate production LCOA.</t>
        </is>
      </c>
      <c r="C64" s="37" t="n"/>
      <c r="D64" s="37" t="n"/>
      <c r="E64" s="38" t="n"/>
    </row>
    <row r="65">
      <c r="A65" s="34" t="n"/>
      <c r="B65" s="35" t="inlineStr">
        <is>
          <t>EU-07 Cameli: only 2019-tech value ($915) used. 2050 projection ($677) excluded.</t>
        </is>
      </c>
      <c r="C65" s="37" t="n"/>
      <c r="D65" s="37" t="n"/>
      <c r="E65" s="38" t="n"/>
    </row>
    <row r="66">
      <c r="A66" s="34" t="n"/>
      <c r="B66" s="35" t="inlineStr">
        <is>
          <t>Tier 2 studies (EU-03 DECHEMA, EU-08 Mingolla SSRN): included in main analysis. Sensitivity without Tier 2 in SI.</t>
        </is>
      </c>
      <c r="C66" s="37" t="n"/>
      <c r="D66" s="37" t="n"/>
      <c r="E66" s="38" t="n"/>
    </row>
    <row r="67">
      <c r="A67" s="34" t="n"/>
      <c r="B67" s="35" t="inlineStr">
        <is>
          <t>Import sensitivity: Non-EU Median Low $610/t + $70/t transport = $680/t delivered. GP Factor +29.1% vs EU Central +64.9%.</t>
        </is>
      </c>
      <c r="C67" s="37" t="n"/>
      <c r="D67" s="37" t="n"/>
      <c r="E67" s="38" t="n"/>
    </row>
  </sheetData>
  <mergeCells count="21">
    <mergeCell ref="A30:E30"/>
    <mergeCell ref="B65:E65"/>
    <mergeCell ref="B64:E64"/>
    <mergeCell ref="A1:E1"/>
    <mergeCell ref="B63:E63"/>
    <mergeCell ref="B62:E62"/>
    <mergeCell ref="B59:E59"/>
    <mergeCell ref="B66:E66"/>
    <mergeCell ref="A3:E3"/>
    <mergeCell ref="A55:E55"/>
    <mergeCell ref="A2:E2"/>
    <mergeCell ref="B58:E58"/>
    <mergeCell ref="A42:E42"/>
    <mergeCell ref="A5:E5"/>
    <mergeCell ref="A8:E8"/>
    <mergeCell ref="B60:E60"/>
    <mergeCell ref="B67:E67"/>
    <mergeCell ref="B61:E61"/>
    <mergeCell ref="B57:E57"/>
    <mergeCell ref="A43:E43"/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10" defaultColWidth="9.06640625" defaultRowHeight="14.25"/>
  <cols>
    <col width="35" customWidth="1" min="1" max="1"/>
    <col width="10" customWidth="1" min="2" max="2"/>
    <col width="35" customWidth="1" min="3" max="3"/>
    <col width="22" customWidth="1" min="4" max="4"/>
    <col width="35" customWidth="1" min="5" max="5"/>
    <col width="22" customWidth="1" min="6" max="6"/>
    <col width="23" customWidth="1" min="7" max="7"/>
    <col width="22" customWidth="1" min="8" max="8"/>
    <col width="24" customWidth="1" min="9" max="9"/>
    <col width="23" customWidth="1" min="10" max="10"/>
    <col width="24" customWidth="1" min="11" max="12"/>
  </cols>
  <sheetData>
    <row r="1">
      <c r="A1" s="31" t="inlineStr">
        <is>
          <t>GAS PRICE SENSITIVITY – FOSSIL NH₃ COST VOLATILITY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8" t="n"/>
    </row>
    <row r="2">
      <c r="A2" s="35" t="inlineStr">
        <is>
          <t>Fossil NH₃ production cost is dominated by natural gas (60–90% of variable cost). Gas price spikes can invert the green premium.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8" t="n"/>
      <c r="L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</row>
    <row r="4">
      <c r="A4" s="31" t="inlineStr">
        <is>
          <t>A | DECHEMA COST MODEL (Annex 2, Table 7.7/7.8)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8" t="n"/>
    </row>
    <row r="5">
      <c r="A5" s="2" t="inlineStr">
        <is>
          <t>Parameter</t>
        </is>
      </c>
      <c r="B5" s="2" t="inlineStr">
        <is>
          <t>Value</t>
        </is>
      </c>
      <c r="C5" s="2" t="inlineStr">
        <is>
          <t>Unit</t>
        </is>
      </c>
      <c r="D5" s="2" t="n"/>
      <c r="E5" s="2" t="inlineStr">
        <is>
          <t>Source</t>
        </is>
      </c>
      <c r="F5" s="2" t="n"/>
      <c r="G5" s="2" t="n"/>
      <c r="H5" s="2" t="n"/>
      <c r="I5" s="2" t="n"/>
      <c r="J5" s="2" t="n"/>
      <c r="K5" s="2" t="n"/>
      <c r="L5" s="34" t="n"/>
    </row>
    <row r="6">
      <c r="A6" s="3" t="inlineStr">
        <is>
          <t>Natural gas feed</t>
        </is>
      </c>
      <c r="B6" s="3" t="n">
        <v>21</v>
      </c>
      <c r="C6" s="3" t="inlineStr">
        <is>
          <t>GJ/t NH₃</t>
        </is>
      </c>
      <c r="D6" s="3" t="n"/>
      <c r="E6" s="3" t="inlineStr">
        <is>
          <t>DECHEMA Annex 2, Table 7.7</t>
        </is>
      </c>
      <c r="F6" s="34" t="n"/>
      <c r="G6" s="34" t="n"/>
      <c r="H6" s="34" t="n"/>
      <c r="I6" s="34" t="n"/>
      <c r="J6" s="34" t="n"/>
      <c r="K6" s="34" t="n"/>
      <c r="L6" s="34" t="n"/>
    </row>
    <row r="7">
      <c r="A7" s="3" t="inlineStr">
        <is>
          <t>Natural gas fuel</t>
        </is>
      </c>
      <c r="B7" s="3" t="n">
        <v>11.2</v>
      </c>
      <c r="C7" s="3" t="inlineStr">
        <is>
          <t>GJ/t NH₃</t>
        </is>
      </c>
      <c r="D7" s="3" t="n"/>
      <c r="E7" s="3" t="inlineStr">
        <is>
          <t>DECHEMA Annex 2, Table 7.7</t>
        </is>
      </c>
      <c r="F7" s="34" t="n"/>
      <c r="G7" s="34" t="n"/>
      <c r="H7" s="34" t="n"/>
      <c r="I7" s="34" t="n"/>
      <c r="J7" s="34" t="n"/>
      <c r="K7" s="34" t="n"/>
      <c r="L7" s="34" t="n"/>
    </row>
    <row r="8">
      <c r="A8" s="3" t="inlineStr">
        <is>
          <t>Total gas energy demand</t>
        </is>
      </c>
      <c r="B8" s="3" t="n">
        <v>32.2</v>
      </c>
      <c r="C8" s="3" t="inlineStr">
        <is>
          <t>GJ/t NH₃</t>
        </is>
      </c>
      <c r="D8" s="3" t="n"/>
      <c r="E8" s="3">
        <f>Feed + Fuel</f>
        <v/>
      </c>
      <c r="F8" s="34" t="n"/>
      <c r="G8" s="34" t="n"/>
      <c r="H8" s="34" t="n"/>
      <c r="I8" s="34" t="n"/>
      <c r="J8" s="34" t="n"/>
      <c r="K8" s="34" t="n"/>
      <c r="L8" s="34" t="n"/>
    </row>
    <row r="9">
      <c r="A9" s="3" t="inlineStr">
        <is>
          <t>Electricity demand (other)</t>
        </is>
      </c>
      <c r="B9" s="3" t="n">
        <v>0.61</v>
      </c>
      <c r="C9" s="3" t="inlineStr">
        <is>
          <t>MWh/t NH₃</t>
        </is>
      </c>
      <c r="D9" s="3" t="n"/>
      <c r="E9" s="3" t="inlineStr">
        <is>
          <t>DECHEMA Annex 2, Table 7.7</t>
        </is>
      </c>
      <c r="F9" s="34" t="n"/>
      <c r="G9" s="34" t="n"/>
      <c r="H9" s="34" t="n"/>
      <c r="I9" s="34" t="n"/>
      <c r="J9" s="34" t="n"/>
      <c r="K9" s="34" t="n"/>
      <c r="L9" s="34" t="n"/>
    </row>
    <row r="10">
      <c r="A10" s="3" t="inlineStr">
        <is>
          <t>Maintenance</t>
        </is>
      </c>
      <c r="B10" s="3" t="n">
        <v>47</v>
      </c>
      <c r="C10" s="3" t="inlineStr">
        <is>
          <t>€/t NH₃</t>
        </is>
      </c>
      <c r="D10" s="3" t="n"/>
      <c r="E10" s="3" t="inlineStr">
        <is>
          <t>DECHEMA Annex 2, Table 7.8</t>
        </is>
      </c>
      <c r="F10" s="34" t="n"/>
      <c r="G10" s="34" t="n"/>
      <c r="H10" s="34" t="n"/>
      <c r="I10" s="34" t="n"/>
      <c r="J10" s="34" t="n"/>
      <c r="K10" s="34" t="n"/>
      <c r="L10" s="34" t="n"/>
    </row>
    <row r="11">
      <c r="A11" s="3" t="inlineStr">
        <is>
          <t>Water cost</t>
        </is>
      </c>
      <c r="B11" s="3" t="n">
        <v>2</v>
      </c>
      <c r="C11" s="3" t="inlineStr">
        <is>
          <t>€/t NH₃</t>
        </is>
      </c>
      <c r="D11" s="3" t="n"/>
      <c r="E11" s="3" t="inlineStr">
        <is>
          <t>DECHEMA Annex 2, Table 7.8</t>
        </is>
      </c>
      <c r="F11" s="34" t="n"/>
      <c r="G11" s="34" t="n"/>
      <c r="H11" s="34" t="n"/>
      <c r="I11" s="34" t="n"/>
      <c r="J11" s="34" t="n"/>
      <c r="K11" s="34" t="n"/>
      <c r="L11" s="34" t="n"/>
    </row>
    <row r="12">
      <c r="A12" s="3" t="inlineStr">
        <is>
          <t>Annualised CAPEX</t>
        </is>
      </c>
      <c r="B12" s="3" t="n">
        <v>85</v>
      </c>
      <c r="C12" s="3" t="inlineStr">
        <is>
          <t>€/t NH₃</t>
        </is>
      </c>
      <c r="D12" s="3" t="n"/>
      <c r="E12" s="3" t="inlineStr">
        <is>
          <t>Hydrogen Europe / industry average</t>
        </is>
      </c>
      <c r="F12" s="34" t="n"/>
      <c r="G12" s="34" t="n"/>
      <c r="H12" s="34" t="n"/>
      <c r="I12" s="34" t="n"/>
      <c r="J12" s="34" t="n"/>
      <c r="K12" s="34" t="n"/>
      <c r="L12" s="34" t="n"/>
    </row>
    <row r="13">
      <c r="A13" s="35" t="inlineStr">
        <is>
          <t>Formula: LCOA_fossil (€/t) = (Gas_€/MWh ÷ 3.6 × 32.2) + (60 × 0.61) + 47 + 2 + 85</t>
        </is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8" t="n"/>
      <c r="L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</row>
    <row r="15">
      <c r="A15" s="31" t="inlineStr">
        <is>
          <t>B | HISTORICAL EUROPEAN GAS PRICES (TTF, World Bank Commodity Data)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8" t="n"/>
    </row>
    <row r="16">
      <c r="A16" s="2" t="inlineStr">
        <is>
          <t>Period</t>
        </is>
      </c>
      <c r="B16" s="2" t="inlineStr">
        <is>
          <t>€/MWh</t>
        </is>
      </c>
      <c r="C16" s="2" t="inlineStr">
        <is>
          <t>Context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4" t="n"/>
    </row>
    <row r="17">
      <c r="A17" s="3" t="inlineStr">
        <is>
          <t>Pre-crisis avg (2015–2020)</t>
        </is>
      </c>
      <c r="B17" s="29" t="n">
        <v>16.5</v>
      </c>
      <c r="C17" s="35" t="inlineStr">
        <is>
          <t>Normal EU market conditions (Russian pipeline supply)</t>
        </is>
      </c>
      <c r="D17" s="37" t="n"/>
      <c r="E17" s="38" t="n"/>
      <c r="F17" s="34" t="n"/>
      <c r="G17" s="34" t="n"/>
      <c r="H17" s="34" t="n"/>
      <c r="I17" s="34" t="n"/>
      <c r="J17" s="34" t="n"/>
      <c r="K17" s="34" t="n"/>
      <c r="L17" s="34" t="n"/>
    </row>
    <row r="18">
      <c r="A18" s="3" t="inlineStr">
        <is>
          <t>2021 (crisis onset)</t>
        </is>
      </c>
      <c r="B18" s="29" t="n">
        <v>46.6</v>
      </c>
      <c r="C18" s="35" t="inlineStr">
        <is>
          <t>Russian supply cuts began, post-COVID demand rebound</t>
        </is>
      </c>
      <c r="D18" s="37" t="n"/>
      <c r="E18" s="38" t="n"/>
      <c r="F18" s="34" t="n"/>
      <c r="G18" s="34" t="n"/>
      <c r="H18" s="34" t="n"/>
      <c r="I18" s="34" t="n"/>
      <c r="J18" s="34" t="n"/>
      <c r="K18" s="34" t="n"/>
      <c r="L18" s="34" t="n"/>
    </row>
    <row r="19">
      <c r="A19" s="3" t="inlineStr">
        <is>
          <t>2022 annual average</t>
        </is>
      </c>
      <c r="B19" s="29" t="n">
        <v>131.1</v>
      </c>
      <c r="C19" s="35" t="inlineStr">
        <is>
          <t>Full energy crisis, TTF record levels</t>
        </is>
      </c>
      <c r="D19" s="37" t="n"/>
      <c r="E19" s="38" t="n"/>
      <c r="F19" s="34" t="n"/>
      <c r="G19" s="34" t="n"/>
      <c r="H19" s="34" t="n"/>
      <c r="I19" s="34" t="n"/>
      <c r="J19" s="34" t="n"/>
      <c r="K19" s="34" t="n"/>
      <c r="L19" s="34" t="n"/>
    </row>
    <row r="20">
      <c r="A20" s="3" t="inlineStr">
        <is>
          <t>2022 peak month (Aug)</t>
        </is>
      </c>
      <c r="B20" s="29" t="n">
        <v>228</v>
      </c>
      <c r="C20" s="35" t="inlineStr">
        <is>
          <t>Spot TTF peak during Nord Stream uncertainty</t>
        </is>
      </c>
      <c r="D20" s="37" t="n"/>
      <c r="E20" s="38" t="n"/>
      <c r="F20" s="34" t="n"/>
      <c r="G20" s="34" t="n"/>
      <c r="H20" s="34" t="n"/>
      <c r="I20" s="34" t="n"/>
      <c r="J20" s="34" t="n"/>
      <c r="K20" s="34" t="n"/>
      <c r="L20" s="34" t="n"/>
    </row>
    <row r="21">
      <c r="A21" s="3" t="inlineStr">
        <is>
          <t>2023 (normalisation)</t>
        </is>
      </c>
      <c r="B21" s="29" t="n">
        <v>41.4</v>
      </c>
      <c r="C21" s="35" t="inlineStr">
        <is>
          <t>EU storage rules, LNG diversification, demand destruction</t>
        </is>
      </c>
      <c r="D21" s="37" t="n"/>
      <c r="E21" s="38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3" t="inlineStr">
        <is>
          <t>2024 average</t>
        </is>
      </c>
      <c r="B22" s="29" t="n">
        <v>34.6</v>
      </c>
      <c r="C22" s="35" t="inlineStr">
        <is>
          <t>Post-crisis 'new normal' with higher structural floor</t>
        </is>
      </c>
      <c r="D22" s="37" t="n"/>
      <c r="E22" s="38" t="n"/>
      <c r="F22" s="34" t="n"/>
      <c r="G22" s="34" t="n"/>
      <c r="H22" s="34" t="n"/>
      <c r="I22" s="34" t="n"/>
      <c r="J22" s="34" t="n"/>
      <c r="K22" s="34" t="n"/>
      <c r="L22" s="34" t="n"/>
    </row>
    <row r="23">
      <c r="A23" s="3" t="inlineStr">
        <is>
          <t>2025 H2 (IEA estimate)</t>
        </is>
      </c>
      <c r="B23" s="29" t="n">
        <v>47</v>
      </c>
      <c r="C23" s="35" t="inlineStr">
        <is>
          <t>IEA commentary Feb 2025: 'double pre-crisis levels'</t>
        </is>
      </c>
      <c r="D23" s="37" t="n"/>
      <c r="E23" s="38" t="n"/>
      <c r="F23" s="34" t="n"/>
      <c r="G23" s="34" t="n"/>
      <c r="H23" s="34" t="n"/>
      <c r="I23" s="34" t="n"/>
      <c r="J23" s="34" t="n"/>
      <c r="K23" s="34" t="n"/>
      <c r="L23" s="34" t="n"/>
    </row>
    <row r="24">
      <c r="A24" s="3" t="inlineStr">
        <is>
          <t>June 2026 (current)</t>
        </is>
      </c>
      <c r="B24" s="29" t="n">
        <v>59</v>
      </c>
      <c r="C24" s="35" t="inlineStr">
        <is>
          <t>TTF spot; elevated by low storage + Ukraine transit halt</t>
        </is>
      </c>
      <c r="D24" s="37" t="n"/>
      <c r="E24" s="38" t="n"/>
      <c r="F24" s="34" t="n"/>
      <c r="G24" s="34" t="n"/>
      <c r="H24" s="34" t="n"/>
      <c r="I24" s="34" t="n"/>
      <c r="J24" s="34" t="n"/>
      <c r="K24" s="34" t="n"/>
      <c r="L24" s="34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</row>
    <row r="26">
      <c r="A26" s="31" t="inlineStr">
        <is>
          <t>C | GAS PRICE SENSITIVITY: GREEN PREMIUM FACTOR (Central LCOA $1,054 – corrected median)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8" t="n"/>
    </row>
    <row r="27">
      <c r="A27" s="35" t="inlineStr">
        <is>
          <t>Green LCOA unchanged (independent of gas). All values incl. 2025 ETS at 10% eff. rate.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8" t="n"/>
      <c r="L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>
      <c r="A29" s="2" t="inlineStr">
        <is>
          <t>Gas Price Scenario</t>
        </is>
      </c>
      <c r="B29" s="2" t="inlineStr">
        <is>
          <t>€/MWh</t>
        </is>
      </c>
      <c r="C29" s="2" t="inlineStr">
        <is>
          <t>Fossil LCOA</t>
        </is>
      </c>
      <c r="D29" s="2" t="inlineStr">
        <is>
          <t>GP Factor</t>
        </is>
      </c>
      <c r="E29" s="2" t="inlineStr">
        <is>
          <t>Wheat</t>
        </is>
      </c>
      <c r="F29" s="2" t="inlineStr">
        <is>
          <t>Maize</t>
        </is>
      </c>
      <c r="G29" s="2" t="inlineStr">
        <is>
          <t>Barley</t>
        </is>
      </c>
      <c r="H29" s="2" t="inlineStr">
        <is>
          <t>Rapeseed</t>
        </is>
      </c>
      <c r="I29" s="2" t="inlineStr">
        <is>
          <t>Bread</t>
        </is>
      </c>
      <c r="J29" s="2" t="inlineStr">
        <is>
          <t>Rapeseed Oil</t>
        </is>
      </c>
      <c r="K29" s="2" t="inlineStr">
        <is>
          <t>Milk</t>
        </is>
      </c>
      <c r="L29" s="2" t="inlineStr">
        <is>
          <t>Meat (Ø)</t>
        </is>
      </c>
    </row>
    <row r="30">
      <c r="A30" s="3" t="inlineStr">
        <is>
          <t>TEA literature average</t>
        </is>
      </c>
      <c r="B30" s="29" t="n">
        <v>26</v>
      </c>
      <c r="C30" s="26" t="n">
        <v>449</v>
      </c>
      <c r="D30" s="30" t="n">
        <v>0.6535649432016595</v>
      </c>
      <c r="E30" s="30" t="n">
        <v>0.06490863617596423</v>
      </c>
      <c r="F30" s="30" t="n">
        <v>0.05017531607531068</v>
      </c>
      <c r="G30" s="30" t="n">
        <v>0.06042437809885851</v>
      </c>
      <c r="H30" s="30" t="n">
        <v>0.06254413406711246</v>
      </c>
      <c r="I30" s="30" t="n">
        <v>0.003238090217730008</v>
      </c>
      <c r="J30" s="30" t="n">
        <v>0.02402183844917141</v>
      </c>
      <c r="K30" s="30" t="n">
        <v>0.00636645725425913</v>
      </c>
      <c r="L30" s="30" t="n">
        <v>0.0131835333748242</v>
      </c>
    </row>
    <row r="31">
      <c r="A31" s="3" t="inlineStr">
        <is>
          <t>Pre-crisis avg (2015–20)</t>
        </is>
      </c>
      <c r="B31" s="29" t="n">
        <v>16.5</v>
      </c>
      <c r="C31" s="26" t="n">
        <v>357</v>
      </c>
      <c r="D31" s="30" t="n">
        <v>0.7414343121546393</v>
      </c>
      <c r="E31" s="30" t="n">
        <v>0.07363536021419147</v>
      </c>
      <c r="F31" s="30" t="n">
        <v>0.05692120017820614</v>
      </c>
      <c r="G31" s="30" t="n">
        <v>0.06854821036396318</v>
      </c>
      <c r="H31" s="30" t="n">
        <v>0.07095295961590266</v>
      </c>
      <c r="I31" s="30" t="n">
        <v>0.003673439370104848</v>
      </c>
      <c r="J31" s="30" t="n">
        <v>0.02725148503223152</v>
      </c>
      <c r="K31" s="30" t="n">
        <v>0.007222403686540858</v>
      </c>
      <c r="L31" s="30" t="n">
        <v>0.0149560102652484</v>
      </c>
    </row>
    <row r="32">
      <c r="A32" s="3" t="inlineStr">
        <is>
          <t>Post-crisis 'new normal'</t>
        </is>
      </c>
      <c r="B32" s="29" t="n">
        <v>40</v>
      </c>
      <c r="C32" s="26" t="n">
        <v>584</v>
      </c>
      <c r="D32" s="30" t="n">
        <v>0.5240732415867424</v>
      </c>
      <c r="E32" s="30" t="n">
        <v>0.05204820075120838</v>
      </c>
      <c r="F32" s="30" t="n">
        <v>0.04023401318683319</v>
      </c>
      <c r="G32" s="30" t="n">
        <v>0.04845241476080955</v>
      </c>
      <c r="H32" s="30" t="n">
        <v>0.05015218062679009</v>
      </c>
      <c r="I32" s="30" t="n">
        <v>0.002596523045809194</v>
      </c>
      <c r="J32" s="30" t="n">
        <v>0.01926235927413546</v>
      </c>
      <c r="K32" s="30" t="n">
        <v>0.005105062511949221</v>
      </c>
      <c r="L32" s="30" t="n">
        <v>0.01057146216788327</v>
      </c>
    </row>
    <row r="33">
      <c r="A33" s="3" t="inlineStr">
        <is>
          <t>Current (Mar 2026)</t>
        </is>
      </c>
      <c r="B33" s="29" t="n">
        <v>59</v>
      </c>
      <c r="C33" s="26" t="n">
        <v>768</v>
      </c>
      <c r="D33" s="30" t="n">
        <v>0.3483345036807831</v>
      </c>
      <c r="E33" s="30" t="n">
        <v>0.03459475267475395</v>
      </c>
      <c r="F33" s="30" t="n">
        <v>0.02674224498104228</v>
      </c>
      <c r="G33" s="30" t="n">
        <v>0.03220475023060021</v>
      </c>
      <c r="H33" s="30" t="n">
        <v>0.03333452952920969</v>
      </c>
      <c r="I33" s="30" t="n">
        <v>0.001725824741059516</v>
      </c>
      <c r="J33" s="30" t="n">
        <v>0.01280306610801524</v>
      </c>
      <c r="K33" s="30" t="n">
        <v>0.003393169647385769</v>
      </c>
      <c r="L33" s="30" t="n">
        <v>0.007026508387034865</v>
      </c>
    </row>
    <row r="34">
      <c r="A34" s="3" t="inlineStr">
        <is>
          <t>2022 crisis annual avg</t>
        </is>
      </c>
      <c r="B34" s="29" t="n">
        <v>131</v>
      </c>
      <c r="C34" s="26" t="n">
        <v>1463</v>
      </c>
      <c r="D34" s="22" t="n">
        <v>-0.3176228189102198</v>
      </c>
      <c r="E34" s="30" t="n">
        <v>-0.03154462950970483</v>
      </c>
      <c r="F34" s="30" t="n">
        <v>-0.02438445558827057</v>
      </c>
      <c r="G34" s="30" t="n">
        <v>-0.02936534693650878</v>
      </c>
      <c r="H34" s="30" t="n">
        <v>-0.0303955167353054</v>
      </c>
      <c r="I34" s="30" t="n">
        <v>-0.001573663571676103</v>
      </c>
      <c r="J34" s="30" t="n">
        <v>-0.01167425536359819</v>
      </c>
      <c r="K34" s="30" t="n">
        <v>-0.003094003313065198</v>
      </c>
      <c r="L34" s="30" t="n">
        <v>-0.006407000677232762</v>
      </c>
    </row>
    <row r="35">
      <c r="A35" s="3" t="inlineStr">
        <is>
          <t>2022 peak month (Aug)</t>
        </is>
      </c>
      <c r="B35" s="29" t="n">
        <v>228</v>
      </c>
      <c r="C35" s="26" t="n">
        <v>2400</v>
      </c>
      <c r="D35" s="22" t="n">
        <v>-1.214815322956432</v>
      </c>
      <c r="E35" s="30" t="n">
        <v>-0.1206490749526563</v>
      </c>
      <c r="F35" s="30" t="n">
        <v>-0.09326348274415043</v>
      </c>
      <c r="G35" s="30" t="n">
        <v>-0.1123139500644195</v>
      </c>
      <c r="H35" s="30" t="n">
        <v>-0.1162540512861105</v>
      </c>
      <c r="I35" s="30" t="n">
        <v>-0.006018807548556036</v>
      </c>
      <c r="J35" s="30" t="n">
        <v>-0.04465064679063298</v>
      </c>
      <c r="K35" s="30" t="n">
        <v>-0.01183366688478387</v>
      </c>
      <c r="L35" s="30" t="n">
        <v>-0.02450492261103777</v>
      </c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</row>
    <row r="37">
      <c r="A37" s="35" t="inlineStr">
        <is>
          <t>At current gas prices (€59/MWh), the Central premium is only +37% – far below the TEA-based +67%.</t>
        </is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8" t="n"/>
      <c r="L37" s="34" t="n"/>
    </row>
    <row r="38">
      <c r="A38" s="35" t="inlineStr">
        <is>
          <t>At 2022 crisis prices, ALL products show NEGATIVE premiums – green fertilizer is cheaper than fossil across the board.</t>
        </is>
      </c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8" t="n"/>
      <c r="L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31" t="inlineStr">
        <is>
          <t>D | SOURCES</t>
        </is>
      </c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8" t="n"/>
    </row>
    <row r="41">
      <c r="A41" s="35" t="inlineStr">
        <is>
          <t>World Bank (2025). Commodity Price Data (Pink Sheet), monthly nominal prices Jan 2025 update. TTF series.</t>
        </is>
      </c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 t="n"/>
      <c r="L41" s="34" t="n"/>
    </row>
    <row r="42">
      <c r="A42" s="35" t="inlineStr">
        <is>
          <t>DECHEMA/Ausfelder (2022). Perspective Europe 2030, Annex 2 Tables 7.7/7.8.</t>
        </is>
      </c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8" t="n"/>
      <c r="L42" s="34" t="n"/>
    </row>
    <row r="43">
      <c r="A43" s="35" t="inlineStr">
        <is>
          <t>IEA (2026). European gas market volatility commentary.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8" t="n"/>
      <c r="L43" s="34" t="n"/>
    </row>
    <row r="44">
      <c r="A44" s="35" t="inlineStr">
        <is>
          <t>TFI / AGA (2023). Natural gas accounts for 70–90% of ammonia production costs.</t>
        </is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8" t="n"/>
      <c r="L44" s="34" t="n"/>
    </row>
    <row r="45">
      <c r="A45" s="35" t="inlineStr">
        <is>
          <t>ICE Endex. TTF Natural Gas Futures (spot prices, June 2026).</t>
        </is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8" t="n"/>
      <c r="L45" s="34" t="n"/>
    </row>
  </sheetData>
  <mergeCells count="23">
    <mergeCell ref="C22:E22"/>
    <mergeCell ref="C21:E21"/>
    <mergeCell ref="A45:K45"/>
    <mergeCell ref="A26:L26"/>
    <mergeCell ref="C23:E23"/>
    <mergeCell ref="A41:K41"/>
    <mergeCell ref="C17:E17"/>
    <mergeCell ref="A37:K37"/>
    <mergeCell ref="A27:K27"/>
    <mergeCell ref="A4:L4"/>
    <mergeCell ref="C19:E19"/>
    <mergeCell ref="A2:K2"/>
    <mergeCell ref="C18:E18"/>
    <mergeCell ref="A42:K42"/>
    <mergeCell ref="A40:L40"/>
    <mergeCell ref="C24:E24"/>
    <mergeCell ref="A15:L15"/>
    <mergeCell ref="A1:L1"/>
    <mergeCell ref="A43:K43"/>
    <mergeCell ref="A38:K38"/>
    <mergeCell ref="A13:K13"/>
    <mergeCell ref="A44:K44"/>
    <mergeCell ref="C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tabSelected="1" workbookViewId="0">
      <selection activeCell="C8" sqref="C8"/>
    </sheetView>
  </sheetViews>
  <sheetFormatPr baseColWidth="10" defaultColWidth="9.06640625" defaultRowHeight="14.25"/>
  <cols>
    <col width="10" customWidth="1" min="1" max="1"/>
    <col width="25" customWidth="1" min="2" max="2"/>
    <col width="93.59765625" customWidth="1" min="3" max="3"/>
  </cols>
  <sheetData>
    <row r="1">
      <c r="A1" s="31" t="inlineStr">
        <is>
          <t>SOURCES, REFERENCES &amp; METHODOLOGY</t>
        </is>
      </c>
      <c r="B1" s="37" t="n"/>
      <c r="C1" s="38" t="n"/>
    </row>
    <row r="2">
      <c r="A2" s="33" t="inlineStr">
        <is>
          <t>All sources referenced in the analysis via [S##] notation.</t>
        </is>
      </c>
      <c r="B2" s="37" t="n"/>
      <c r="C2" s="38" t="n"/>
    </row>
    <row r="3">
      <c r="A3" s="34" t="n"/>
      <c r="B3" s="34" t="n"/>
      <c r="C3" s="34" t="n"/>
    </row>
    <row r="4">
      <c r="A4" s="31" t="inlineStr">
        <is>
          <t>A | REFERENCES</t>
        </is>
      </c>
      <c r="B4" s="37" t="n"/>
      <c r="C4" s="38" t="n"/>
    </row>
    <row r="5">
      <c r="A5" s="2" t="inlineStr">
        <is>
          <t>#</t>
        </is>
      </c>
      <c r="B5" s="2" t="inlineStr">
        <is>
          <t>Short Label</t>
        </is>
      </c>
      <c r="C5" s="2" t="inlineStr">
        <is>
          <t>Full Citation / URL</t>
        </is>
      </c>
    </row>
    <row r="6" ht="71.25" customHeight="1">
      <c r="A6" s="18" t="inlineStr">
        <is>
          <t>S1</t>
        </is>
      </c>
      <c r="B6" s="3" t="inlineStr">
        <is>
          <t>EU Agridata Fertiliser</t>
        </is>
      </c>
      <c r="C6" s="36" t="inlineStr">
        <is>
          <t>European Commission, Agridata Portal. EU Fertiliser Prices Dashboard. Monthly N-fertilizer prices, 2020–2025. URL: https://agridata.ec.europa.eu/extensions/DashboardFertiliser/FertiliserPrices.html</t>
        </is>
      </c>
    </row>
    <row r="7" ht="42.75" customHeight="1">
      <c r="A7" s="18" t="inlineStr">
        <is>
          <t>S2</t>
        </is>
      </c>
      <c r="B7" s="3" t="inlineStr">
        <is>
          <t>Fertilizers Europe 2023</t>
        </is>
      </c>
      <c r="C7" s="36" t="inlineStr">
        <is>
          <t>Fertilizers Europe (2023). Industry Facts and Figures. EU N-fertilizer product mix: AN 47%, Urea 22%, UAN 12%, Other 19%.</t>
        </is>
      </c>
    </row>
    <row r="8" ht="99.75" customHeight="1">
      <c r="A8" s="18" t="inlineStr">
        <is>
          <t>S3</t>
        </is>
      </c>
      <c r="B8" s="3" t="inlineStr">
        <is>
          <t>LCOA Literature Review</t>
        </is>
      </c>
      <c r="C8" s="36" t="inlineStr">
        <is>
          <t>Systematic review of 8 EU + 9 Non-EU LCOA studies (2022–2025). EU scenarios: median Low $815, Central $1,081, High $1,308 $/t NH₃. Fossil ref $440/t + ETS. Differential approach: ΔLCOA × stoichiometry + CO₂. See Sheet 5 and Green_Premium_Methodik_v3.</t>
        </is>
      </c>
    </row>
    <row r="9" ht="42.75" customHeight="1">
      <c r="A9" s="18" t="inlineStr">
        <is>
          <t>S4</t>
        </is>
      </c>
      <c r="B9" s="3" t="inlineStr">
        <is>
          <t>Eurostat apro_cpsh1</t>
        </is>
      </c>
      <c r="C9" s="36" t="inlineStr">
        <is>
          <t>Eurostat (2024). Crop production in EU standard humidity [apro_cpsh1]. EU-27, reference year 2023.</t>
        </is>
      </c>
    </row>
    <row r="10" ht="42.75" customHeight="1">
      <c r="A10" s="18" t="inlineStr">
        <is>
          <t>S5</t>
        </is>
      </c>
      <c r="B10" s="3" t="inlineStr">
        <is>
          <t>IFA × ADJ Factor</t>
        </is>
      </c>
      <c r="C10" s="36" t="inlineStr">
        <is>
          <t>IFA Fertiliser Use by Crop 2017/18 × ADJ 0.7809 (= Fertilizers Europe 8,300 kt ÷ IFA 10,628 kt).</t>
        </is>
      </c>
    </row>
    <row r="11" ht="42.75" customHeight="1">
      <c r="A11" s="18" t="inlineStr">
        <is>
          <t>S6</t>
        </is>
      </c>
      <c r="B11" s="3" t="inlineStr">
        <is>
          <t>FAO TCFs</t>
        </is>
      </c>
      <c r="C11" s="36" t="inlineStr">
        <is>
          <t>FAO (1997). Technical Conversion Factors for Agricultural Commodities. EU median from 6 countries (DE, FR, IT, ES, PL, NL).</t>
        </is>
      </c>
    </row>
    <row r="12" ht="57" customHeight="1">
      <c r="A12" s="18" t="inlineStr">
        <is>
          <t>S7</t>
        </is>
      </c>
      <c r="B12" s="3" t="inlineStr">
        <is>
          <t>Cauvain (2015)</t>
        </is>
      </c>
      <c r="C12" s="36" t="inlineStr">
        <is>
          <t>Cauvain, S.P. (2015). Technology of Breadmaking, 3rd ed., Springer. Industrial white bread: hydration 58–65%, dough yield ~163.5%.</t>
        </is>
      </c>
    </row>
    <row r="13" ht="57" customHeight="1">
      <c r="A13" s="18" t="inlineStr">
        <is>
          <t>S8</t>
        </is>
      </c>
      <c r="B13" s="3" t="inlineStr">
        <is>
          <t>Purlis (2011)</t>
        </is>
      </c>
      <c r="C13" s="36" t="inlineStr">
        <is>
          <t>Purlis, E. (2011). J. Food Engineering 104(3), 461–467. doi: 10.1016/j.jfoodeng.2011.01.012. Baking weight loss 10–15%, industrial avg ~12%.</t>
        </is>
      </c>
    </row>
    <row r="14" ht="42.75" customHeight="1">
      <c r="A14" s="18" t="inlineStr">
        <is>
          <t>S9</t>
        </is>
      </c>
      <c r="B14" s="3" t="inlineStr">
        <is>
          <t>Processing Nodes</t>
        </is>
      </c>
      <c r="C14" s="36" t="inlineStr">
        <is>
          <t>GLM N-Flow Model, Processing Node Scale Analysis. Pasta CF 1.422 kg durum/kg pasta.</t>
        </is>
      </c>
    </row>
    <row r="15" ht="42.75" customHeight="1">
      <c r="A15" s="18" t="inlineStr">
        <is>
          <t>S10</t>
        </is>
      </c>
      <c r="B15" s="3" t="inlineStr">
        <is>
          <t>Brewers of Europe</t>
        </is>
      </c>
      <c r="C15" s="36" t="inlineStr">
        <is>
          <t>Brewers of Europe Annual Report + DG AGRI BS 1.4: 6,300 kt malting barley → 0.2027 kg barley/L beer.</t>
        </is>
      </c>
    </row>
    <row r="16" ht="28.5" customHeight="1">
      <c r="A16" s="18" t="inlineStr">
        <is>
          <t>S11</t>
        </is>
      </c>
      <c r="B16" s="3" t="inlineStr">
        <is>
          <t>DG AGRI BS 1.15</t>
        </is>
      </c>
      <c r="C16" s="36" t="inlineStr">
        <is>
          <t>DG AGRI Crop Balance Sheets 2023/24, Sugar Beet. Extraction rate 14.2%.</t>
        </is>
      </c>
    </row>
    <row r="17" ht="42.75" customHeight="1">
      <c r="A17" s="18" t="inlineStr">
        <is>
          <t>S12</t>
        </is>
      </c>
      <c r="B17" s="3" t="inlineStr">
        <is>
          <t>Eurostat prc_dap15</t>
        </is>
      </c>
      <c r="C17" s="36" t="inlineStr">
        <is>
          <t>Eurostat Detailed Average Prices 2015 [prc_dap15]. Pop-weighted, HICP-adjusted to 2023.</t>
        </is>
      </c>
    </row>
    <row r="18" ht="28.5" customHeight="1">
      <c r="A18" s="18" t="inlineStr">
        <is>
          <t>S13</t>
        </is>
      </c>
      <c r="B18" s="3" t="inlineStr">
        <is>
          <t>Rapeseed Oil price</t>
        </is>
      </c>
      <c r="C18" s="36" t="inlineStr">
        <is>
          <t>Est. EU avg: DE retail €2.40/L ÷ Eurostat price level index (DE=108.6) → €2.20/L.</t>
        </is>
      </c>
    </row>
    <row r="19" ht="28.5" customHeight="1">
      <c r="A19" s="18" t="inlineStr">
        <is>
          <t>S14</t>
        </is>
      </c>
      <c r="B19" s="3" t="inlineStr">
        <is>
          <t>Regulatory Entry Pts</t>
        </is>
      </c>
      <c r="C19" s="36" t="inlineStr">
        <is>
          <t>GLM N-Flow Model, Regulatory Entry Points + Animal Feed Background sheets.</t>
        </is>
      </c>
    </row>
    <row r="20" ht="71.25" customHeight="1">
      <c r="A20" s="18" t="inlineStr">
        <is>
          <t>S15</t>
        </is>
      </c>
      <c r="B20" s="3" t="inlineStr">
        <is>
          <t>FEFAC 2024</t>
        </is>
      </c>
      <c r="C20" s="36" t="inlineStr">
        <is>
          <t>FEFAC Feed &amp; Food Statistical Yearbook 2024. EU ICF: 146.9 Mt. https://fefac.eu/wp-content/uploads/2025/04/FF_2024_FINAL.pdf</t>
        </is>
      </c>
    </row>
    <row r="21" ht="28.5" customHeight="1">
      <c r="A21" s="18" t="inlineStr">
        <is>
          <t>S16</t>
        </is>
      </c>
      <c r="B21" s="3" t="inlineStr">
        <is>
          <t>GLEAM / GFLI</t>
        </is>
      </c>
      <c r="C21" s="36" t="inlineStr">
        <is>
          <t>FAO GLEAM 3.0 + GFLI 2016. Feed ration crop shares per livestock type.</t>
        </is>
      </c>
    </row>
    <row r="22" ht="71.25" customHeight="1">
      <c r="A22" s="18" t="inlineStr">
        <is>
          <t>S17</t>
        </is>
      </c>
      <c r="B22" s="3" t="inlineStr">
        <is>
          <t>FAO TCF; USDA</t>
        </is>
      </c>
      <c r="C22" s="36" t="inlineStr">
        <is>
          <t>FAO Technical Conversion Factors (tcf.pdf): Pigs 77%, Chickens 73% (EU-6 avg dressing %). Beef: 65% carcass-to-retail cutting yield (USDA yield grade data; Penn State Extension 2022).</t>
        </is>
      </c>
    </row>
    <row r="23" ht="71.25" customHeight="1">
      <c r="A23" s="18" t="inlineStr">
        <is>
          <t>S18</t>
        </is>
      </c>
      <c r="B23" s="3" t="inlineStr">
        <is>
          <t>PRODCOM 2023</t>
        </is>
      </c>
      <c r="C23" s="36" t="inlineStr">
        <is>
          <t>Eurostat PRODCOM EU-27 2023 production value. Meat: NACE 1011 Beef €35.3B, Pork €55.3B; NACE 1012 Poultry €38.5B. Grain: NACE 1071 Bread €70.6B; NACE 1073 Pasta €9.1B.</t>
        </is>
      </c>
    </row>
    <row r="24" ht="28.5" customHeight="1">
      <c r="A24" s="18" t="inlineStr">
        <is>
          <t>S19</t>
        </is>
      </c>
      <c r="B24" s="3" t="inlineStr">
        <is>
          <t>Eurostat farmgate</t>
        </is>
      </c>
      <c r="C24" s="36" t="inlineStr">
        <is>
          <t>Eurostat [apri_ap_crpouta]. Selling prices of crop products, 5-yr avg 2019–2024.</t>
        </is>
      </c>
    </row>
    <row r="25" ht="57" customHeight="1">
      <c r="A25" s="18" t="inlineStr">
        <is>
          <t>S20</t>
        </is>
      </c>
      <c r="B25" s="3" t="inlineStr">
        <is>
          <t>World Bank Pink Sheet</t>
        </is>
      </c>
      <c r="C25" s="36" t="inlineStr">
        <is>
          <t>World Bank (2025). Commodity Price Data monthly. TTF 'Natural gas, Europe' series. Pre-crisis avg €16.5/MWh; 2022 avg €131/MWh.</t>
        </is>
      </c>
    </row>
    <row r="26" ht="57" customHeight="1">
      <c r="A26" s="18" t="inlineStr">
        <is>
          <t>S21</t>
        </is>
      </c>
      <c r="B26" s="3" t="inlineStr">
        <is>
          <t>DECHEMA 2022 Annex 2</t>
        </is>
      </c>
      <c r="C26" s="36" t="inlineStr">
        <is>
          <t>DECHEMA/Ausfelder (2022). Perspective Europe 2030, Tables 7.7/7.8. NH₃ cost model: NG 32.2 GJ/t, elec 0.61 MWh/t, maint €47/t, CAPEX €85/t.</t>
        </is>
      </c>
    </row>
    <row r="27" ht="42.75" customHeight="1">
      <c r="A27" s="18" t="inlineStr">
        <is>
          <t>S22</t>
        </is>
      </c>
      <c r="B27" s="3" t="inlineStr">
        <is>
          <t>TFI / AGA 2023</t>
        </is>
      </c>
      <c r="C27" s="36" t="inlineStr">
        <is>
          <t>The Fertilizer Institute / AGA (2023). 'Natural gas accounts for 70–90% of ammonia production costs.'</t>
        </is>
      </c>
    </row>
    <row r="28">
      <c r="A28" s="34" t="n"/>
      <c r="B28" s="34" t="n"/>
      <c r="C28" s="34" t="n"/>
    </row>
    <row r="29">
      <c r="A29" s="34" t="n"/>
      <c r="B29" s="34" t="n"/>
      <c r="C29" s="34" t="n"/>
    </row>
    <row r="30">
      <c r="A30" s="31" t="inlineStr">
        <is>
          <t>B | METHODOLOGY NOTES</t>
        </is>
      </c>
      <c r="B30" s="37" t="n"/>
      <c r="C30" s="38" t="n"/>
    </row>
    <row r="31">
      <c r="A31" s="34" t="n"/>
      <c r="B31" s="34" t="n"/>
      <c r="C31" s="34" t="n"/>
    </row>
    <row r="32">
      <c r="A32" s="3" t="inlineStr">
        <is>
          <t>•</t>
        </is>
      </c>
      <c r="B32" s="36" t="inlineStr">
        <is>
          <t>SYSTEM BOUNDARY: Green Premium = % increase in retail price from switching all synthetic N fertilizer from grey to green ammonia. Organic manures, biological fixation, atmospheric deposition outside scope.</t>
        </is>
      </c>
      <c r="C32" s="38" t="n"/>
    </row>
    <row r="33">
      <c r="A33" s="3" t="inlineStr">
        <is>
          <t>•</t>
        </is>
      </c>
      <c r="B33" s="36" t="inlineStr">
        <is>
          <t>GREEN PREMIUM DERIVATION : Differential approach. ΔCost = ΔLCOA × NH₃_stoichiometry + CO₂_cost × CO₂_stoichiometry. Conversion costs cancel. EU mix: 64.2% AN (0.425 t NH₃/t) + 32.1% Urea (0.567 t NH₃/t + 0.733 t CO₂/t). CO₂ base case $150/t.</t>
        </is>
      </c>
      <c r="C33" s="38" t="n"/>
    </row>
    <row r="34">
      <c r="A34" s="3" t="inlineStr">
        <is>
          <t>•</t>
        </is>
      </c>
      <c r="B34" s="36" t="inlineStr">
        <is>
          <t>REGULATORY REACH: Pre-allocation + full oilseed scope for all animal products. Rapeseed Oil: 100% of N to oil (no co-product alloc.).</t>
        </is>
      </c>
      <c r="C34" s="38" t="n"/>
    </row>
    <row r="35">
      <c r="A35" s="3" t="inlineStr">
        <is>
          <t>•</t>
        </is>
      </c>
      <c r="B35" s="36" t="inlineStr">
        <is>
          <t>PREMIUM-PRODUCT ALLOCATION : Meat products use retail meat yield factors (poultry 75%, pork 75%, beef 65%) to allocate 100% of feed-N to retail cuts. Co-products (bones, offal, rendering) bear no GP. Consistent with rapeseed → oil allocation. [S17]</t>
        </is>
      </c>
      <c r="C35" s="38" t="n"/>
    </row>
    <row r="36">
      <c r="A36" s="3" t="inlineStr">
        <is>
          <t>•</t>
        </is>
      </c>
      <c r="B36" s="36" t="inlineStr">
        <is>
          <t>BREAD CHAIN: Wheat ER 77.5% (FAO) → Dough 163.5% (Cauvain 2015: 63% hydration + 3.5% salt/yeast) → Baking −12% (Purlis 2011). Net: 1t wheat → 1,115 kg bread.</t>
        </is>
      </c>
      <c r="C36" s="38" t="n"/>
    </row>
    <row r="37">
      <c r="A37" s="3" t="inlineStr">
        <is>
          <t>•</t>
        </is>
      </c>
      <c r="B37" s="36" t="inlineStr">
        <is>
          <t>C108 ENDPOINT: Carbonated Drink (not Refined Sugar). C106 uses Bread as representative end product.</t>
        </is>
      </c>
      <c r="C37" s="38" t="n"/>
    </row>
    <row r="38">
      <c r="A38" s="3" t="inlineStr">
        <is>
          <t>•</t>
        </is>
      </c>
      <c r="B38" s="36" t="inlineStr">
        <is>
          <t>C109: ICF-only N per species ÷ EU production. Approach 3 (recipe method) shown for information only.</t>
        </is>
      </c>
      <c r="C38" s="38" t="n"/>
    </row>
    <row r="39">
      <c r="A39" s="3" t="inlineStr">
        <is>
          <t>•</t>
        </is>
      </c>
      <c r="B39" s="36" t="inlineStr">
        <is>
          <t>MEAT AVERAGE: PRODCOM 2023 production-value-weighted (Poultry 29.8%, Pork 42.8%, Beef 27.3%). [S18]</t>
        </is>
      </c>
      <c r="C39" s="38" t="n"/>
    </row>
    <row r="40">
      <c r="A40" s="3" t="inlineStr">
        <is>
          <t>•</t>
        </is>
      </c>
      <c r="B40" s="36" t="inlineStr">
        <is>
          <t>GRAIN: Bread-only (NACE 1071, €70.6B PRODCOM 2023). Pasta excluded for consistency with figure and paper scope. [S18]</t>
        </is>
      </c>
      <c r="C40" s="38" t="n"/>
    </row>
    <row r="41">
      <c r="A41" s="3" t="inlineStr">
        <is>
          <t>•</t>
        </is>
      </c>
      <c r="B41" s="36" t="inlineStr">
        <is>
          <t>RANKING STABILITY: Identical across Low/Central/High scenarios – determined by N intensity per € product value.</t>
        </is>
      </c>
      <c r="C41" s="38" t="n"/>
    </row>
    <row r="42">
      <c r="A42" s="3" t="inlineStr">
        <is>
          <t>•</t>
        </is>
      </c>
      <c r="B42" s="36" t="inlineStr">
        <is>
          <t>GAS PRICE SENSITIVITY : Fossil NH₃ cost depends 60–90% on natural gas (DECHEMA model: 32.2 GJ/t at TTF). At current TTF (€59/MWh), fossil LCOA is ~$754/t – far above the TEA reference ($440 + ETS). At 2022 crisis (€131/MWh), green NH₃ is cheaper than fossil. Sheet 6 Section E. [S20][S21][S22]</t>
        </is>
      </c>
      <c r="C42" s="38" t="n"/>
    </row>
  </sheetData>
  <mergeCells count="15">
    <mergeCell ref="B39:C39"/>
    <mergeCell ref="B38:C38"/>
    <mergeCell ref="B33:C33"/>
    <mergeCell ref="A1:C1"/>
    <mergeCell ref="B34:C34"/>
    <mergeCell ref="B37:C37"/>
    <mergeCell ref="B42:C42"/>
    <mergeCell ref="B36:C36"/>
    <mergeCell ref="B32:C32"/>
    <mergeCell ref="A30:C30"/>
    <mergeCell ref="B40:C40"/>
    <mergeCell ref="B41:C41"/>
    <mergeCell ref="A4:C4"/>
    <mergeCell ref="B35:C3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2026-06-28T10:23:57Z</dcterms:created>
  <dcterms:modified xmlns:dcterms="http://purl.org/dc/terms/" xmlns:xsi="http://www.w3.org/2001/XMLSchema-instance" xsi:type="dcterms:W3CDTF">2026-06-28T12:10:04Z</dcterms:modified>
  <cp:lastModifiedBy>Finn Haberkost</cp:lastModifiedBy>
</cp:coreProperties>
</file>
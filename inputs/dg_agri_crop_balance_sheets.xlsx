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oetheuniversitaet-my.sharepoint.com/personal/4b2k2jbf6y_goetheuniversitaet_onmicrosoft_com/Documents/0_RIFS_neu/Fertilizer/Essential Files/Agricultural Production Data/"/>
    </mc:Choice>
  </mc:AlternateContent>
  <xr:revisionPtr revIDLastSave="320" documentId="8_{DFC4FE1B-0EF7-495A-9D4D-A9D520993263}" xr6:coauthVersionLast="47" xr6:coauthVersionMax="47" xr10:uidLastSave="{A241380B-30C4-4733-A2A5-2E643C834F6E}"/>
  <bookViews>
    <workbookView xWindow="28650" yWindow="-16170" windowWidth="19965" windowHeight="14460" tabRatio="942" firstSheet="10" activeTab="10" xr2:uid="{00000000-000D-0000-FFFF-FFFF00000000}"/>
  </bookViews>
  <sheets>
    <sheet name="1.1 EU Total Cereals" sheetId="1" r:id="rId1"/>
    <sheet name="1.2 EU Soft Wheat" sheetId="2" r:id="rId2"/>
    <sheet name="1.3 EU Durum Wheat" sheetId="3" r:id="rId3"/>
    <sheet name="1.4 EU Barley" sheetId="4" r:id="rId4"/>
    <sheet name="1.5 EU Maize" sheetId="5" r:id="rId5"/>
    <sheet name="1.6 EU Rye" sheetId="6" r:id="rId6"/>
    <sheet name="1.7 EU Sorghum" sheetId="7" r:id="rId7"/>
    <sheet name="1.8 EU Oats" sheetId="8" r:id="rId8"/>
    <sheet name="1.9 EU Triticale" sheetId="9" r:id="rId9"/>
    <sheet name="1.10 EU Other Cereals" sheetId="10" r:id="rId10"/>
    <sheet name="1.11 EU Oilseeds" sheetId="11" r:id="rId11"/>
    <sheet name="1.12 EU Oilmeals" sheetId="12" r:id="rId12"/>
    <sheet name="1.13 EU Vegetable Oils" sheetId="13" r:id="rId13"/>
    <sheet name="1.14 EU Protein Crops" sheetId="14" r:id="rId14"/>
    <sheet name="1.15 EU White Sugar" sheetId="15" r:id="rId15"/>
    <sheet name="1.16 EU Isoglucose" sheetId="16" r:id="rId16"/>
    <sheet name="2.1 EU Olive Oil" sheetId="17" r:id="rId17"/>
    <sheet name="2.2 EU Wine" sheetId="18" r:id="rId18"/>
    <sheet name="2.3 EU Apples" sheetId="19" r:id="rId19"/>
    <sheet name="2.4 EU Oranges" sheetId="20" r:id="rId20"/>
    <sheet name="2.5 EU Peaches And Nectarines" sheetId="21" r:id="rId21"/>
    <sheet name="2.6 EU Tomatoes" sheetId="22" r:id="rId22"/>
    <sheet name="3.1 EU Milk Supply And Utilisat" sheetId="23" r:id="rId23"/>
    <sheet name="3.2 EU Cheese" sheetId="24" r:id="rId24"/>
    <sheet name="3.3 EU Fresh Dairy Products" sheetId="25" r:id="rId25"/>
    <sheet name="3.4 EU Whole Milk Powder" sheetId="26" r:id="rId26"/>
    <sheet name="3.5 EU Skimmed Milk Powder" sheetId="27" r:id="rId27"/>
    <sheet name="3.6 EU Butter Market" sheetId="28" r:id="rId28"/>
    <sheet name="3.7 EU Whey Market" sheetId="29" r:id="rId29"/>
    <sheet name="4.1 EU Aggregate Meat" sheetId="30" r:id="rId30"/>
    <sheet name="4.2 EU Beef And Veal" sheetId="31" r:id="rId31"/>
    <sheet name="4.3 EU Pigmeat" sheetId="32" r:id="rId32"/>
    <sheet name="4.4 EU Poultry Meat" sheetId="33" r:id="rId33"/>
    <sheet name="Wheat &amp; Other Cereals" sheetId="34" r:id="rId34"/>
  </sheets>
  <externalReferences>
    <externalReference r:id="rId35"/>
    <externalReference r:id="rId36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1" l="1"/>
  <c r="G16" i="11"/>
  <c r="D19" i="11"/>
  <c r="D21" i="11" l="1"/>
  <c r="C100" i="11" l="1"/>
  <c r="C101" i="11"/>
  <c r="C99" i="11"/>
  <c r="C78" i="11"/>
  <c r="I20" i="11" l="1"/>
  <c r="I18" i="11"/>
  <c r="I16" i="11"/>
  <c r="F86" i="11"/>
  <c r="G86" i="11"/>
  <c r="H86" i="11"/>
  <c r="F87" i="11"/>
  <c r="G87" i="11"/>
  <c r="H87" i="11"/>
  <c r="F88" i="11"/>
  <c r="G88" i="11"/>
  <c r="H88" i="11"/>
  <c r="C77" i="11"/>
  <c r="C79" i="11"/>
  <c r="C61" i="11"/>
  <c r="C62" i="11"/>
  <c r="C63" i="11"/>
  <c r="C45" i="11"/>
  <c r="C46" i="11"/>
  <c r="C47" i="11"/>
  <c r="F20" i="11"/>
  <c r="H20" i="11" s="1"/>
  <c r="F18" i="11"/>
  <c r="H18" i="11" s="1"/>
  <c r="F16" i="11"/>
  <c r="H16" i="11" s="1"/>
  <c r="E20" i="11"/>
  <c r="E18" i="11"/>
  <c r="E16" i="11"/>
  <c r="D20" i="11"/>
  <c r="D18" i="11"/>
  <c r="D16" i="11"/>
  <c r="C20" i="11"/>
  <c r="C16" i="11"/>
  <c r="C18" i="11"/>
  <c r="I19" i="11"/>
  <c r="I17" i="11"/>
  <c r="I15" i="11"/>
  <c r="D9" i="12"/>
  <c r="D8" i="12"/>
  <c r="D7" i="12"/>
  <c r="C17" i="12"/>
  <c r="C16" i="12"/>
  <c r="C15" i="12"/>
  <c r="C13" i="12"/>
  <c r="C12" i="12"/>
  <c r="C11" i="12"/>
  <c r="C9" i="12"/>
  <c r="C8" i="12"/>
  <c r="C7" i="12"/>
  <c r="C5" i="12"/>
  <c r="C4" i="12"/>
  <c r="C3" i="12"/>
  <c r="C10" i="12" l="1"/>
  <c r="C6" i="12"/>
  <c r="C2" i="12"/>
  <c r="C14" i="12"/>
  <c r="G18" i="11"/>
  <c r="G20" i="11"/>
  <c r="I21" i="34" l="1"/>
  <c r="H21" i="34"/>
  <c r="G21" i="34"/>
  <c r="F21" i="34"/>
  <c r="E21" i="34"/>
  <c r="D21" i="34"/>
  <c r="C21" i="34"/>
  <c r="B21" i="34" s="1"/>
  <c r="I20" i="34"/>
  <c r="H20" i="34"/>
  <c r="G20" i="34"/>
  <c r="F20" i="34"/>
  <c r="E20" i="34"/>
  <c r="D20" i="34"/>
  <c r="C20" i="34"/>
  <c r="B20" i="34" s="1"/>
  <c r="I19" i="34"/>
  <c r="H19" i="34"/>
  <c r="G19" i="34"/>
  <c r="F19" i="34"/>
  <c r="E19" i="34"/>
  <c r="D19" i="34"/>
  <c r="C19" i="34"/>
  <c r="B19" i="34" s="1"/>
  <c r="I18" i="34"/>
  <c r="H18" i="34"/>
  <c r="G18" i="34"/>
  <c r="F18" i="34"/>
  <c r="E18" i="34"/>
  <c r="D18" i="34"/>
  <c r="C18" i="34"/>
  <c r="B18" i="34" s="1"/>
  <c r="I17" i="34"/>
  <c r="H17" i="34"/>
  <c r="G17" i="34"/>
  <c r="F17" i="34"/>
  <c r="E17" i="34"/>
  <c r="D17" i="34"/>
  <c r="C17" i="34"/>
  <c r="B17" i="34" s="1"/>
  <c r="I16" i="34"/>
  <c r="H16" i="34"/>
  <c r="G16" i="34"/>
  <c r="F16" i="34"/>
  <c r="E16" i="34"/>
  <c r="D16" i="34"/>
  <c r="C16" i="34"/>
  <c r="B16" i="34" s="1"/>
  <c r="I15" i="34"/>
  <c r="H15" i="34"/>
  <c r="G15" i="34"/>
  <c r="F15" i="34"/>
  <c r="E15" i="34"/>
  <c r="D15" i="34"/>
  <c r="C15" i="34"/>
  <c r="B15" i="34" s="1"/>
  <c r="I14" i="34"/>
  <c r="H14" i="34"/>
  <c r="G14" i="34"/>
  <c r="F14" i="34"/>
  <c r="E14" i="34"/>
  <c r="D14" i="34"/>
  <c r="C14" i="34"/>
  <c r="B14" i="34" s="1"/>
  <c r="I13" i="34"/>
  <c r="H13" i="34"/>
  <c r="G13" i="34"/>
  <c r="F13" i="34"/>
  <c r="E13" i="34"/>
  <c r="D13" i="34"/>
  <c r="C13" i="34"/>
  <c r="B13" i="34" s="1"/>
  <c r="I12" i="34"/>
  <c r="H12" i="34"/>
  <c r="G12" i="34"/>
  <c r="F12" i="34"/>
  <c r="E12" i="34"/>
  <c r="D12" i="34"/>
  <c r="C12" i="34"/>
  <c r="B12" i="34" s="1"/>
  <c r="I11" i="34"/>
  <c r="H11" i="34"/>
  <c r="G11" i="34"/>
  <c r="F11" i="34"/>
  <c r="E11" i="34"/>
  <c r="D11" i="34"/>
  <c r="C11" i="34"/>
  <c r="B11" i="34" s="1"/>
  <c r="I10" i="34"/>
  <c r="H10" i="34"/>
  <c r="G10" i="34"/>
  <c r="F10" i="34"/>
  <c r="E10" i="34"/>
  <c r="D10" i="34"/>
  <c r="C10" i="34"/>
  <c r="B10" i="34" s="1"/>
  <c r="I9" i="34"/>
  <c r="H9" i="34"/>
  <c r="G9" i="34"/>
  <c r="F9" i="34"/>
  <c r="E9" i="34"/>
  <c r="D9" i="34"/>
  <c r="C9" i="34"/>
  <c r="B9" i="34" s="1"/>
  <c r="I8" i="34"/>
  <c r="H8" i="34"/>
  <c r="G8" i="34"/>
  <c r="F8" i="34"/>
  <c r="E8" i="34"/>
  <c r="D8" i="34"/>
  <c r="C8" i="34"/>
  <c r="B8" i="34" s="1"/>
  <c r="I7" i="34"/>
  <c r="H7" i="34"/>
  <c r="G7" i="34"/>
  <c r="F7" i="34"/>
  <c r="E7" i="34"/>
  <c r="D7" i="34"/>
  <c r="C7" i="34"/>
  <c r="B7" i="34" s="1"/>
  <c r="I6" i="34"/>
  <c r="H6" i="34"/>
  <c r="G6" i="34"/>
  <c r="F6" i="34"/>
  <c r="E6" i="34"/>
  <c r="D6" i="34"/>
  <c r="C6" i="34"/>
  <c r="B6" i="34" s="1"/>
  <c r="I5" i="34"/>
  <c r="H5" i="34"/>
  <c r="G5" i="34"/>
  <c r="F5" i="34"/>
  <c r="E5" i="34"/>
  <c r="D5" i="34"/>
  <c r="C5" i="34"/>
  <c r="B5" i="34" s="1"/>
  <c r="I4" i="34"/>
  <c r="H4" i="34"/>
  <c r="G4" i="34"/>
  <c r="F4" i="34"/>
  <c r="E4" i="34"/>
  <c r="D4" i="34"/>
  <c r="C4" i="34"/>
  <c r="B4" i="34" s="1"/>
  <c r="I3" i="34"/>
  <c r="H3" i="34"/>
  <c r="G3" i="34"/>
  <c r="F3" i="34"/>
  <c r="E3" i="34"/>
  <c r="D3" i="34"/>
  <c r="C3" i="34"/>
  <c r="B3" i="34" s="1"/>
  <c r="I2" i="34"/>
  <c r="H2" i="34"/>
  <c r="G2" i="34"/>
  <c r="F2" i="34"/>
  <c r="E2" i="34"/>
  <c r="D2" i="34"/>
  <c r="C2" i="34"/>
  <c r="B2" i="34" s="1"/>
</calcChain>
</file>

<file path=xl/sharedStrings.xml><?xml version="1.0" encoding="utf-8"?>
<sst xmlns="http://schemas.openxmlformats.org/spreadsheetml/2006/main" count="707" uniqueCount="191">
  <si>
    <t>EU Total Cereals</t>
  </si>
  <si>
    <t>Weight (t)</t>
  </si>
  <si>
    <t>Area (1 000 ha)</t>
  </si>
  <si>
    <t>Yield (t/ha)</t>
  </si>
  <si>
    <t>Beginning stocks</t>
  </si>
  <si>
    <t>Gross production</t>
  </si>
  <si>
    <t>Usable production</t>
  </si>
  <si>
    <t>Imports</t>
  </si>
  <si>
    <t>Availability</t>
  </si>
  <si>
    <t>Domestic use</t>
  </si>
  <si>
    <t>- Human</t>
  </si>
  <si>
    <t>- Seed</t>
  </si>
  <si>
    <t>- Industrial</t>
  </si>
  <si>
    <t>o.w. bioethanol/biofuel</t>
  </si>
  <si>
    <t>- Animal feed</t>
  </si>
  <si>
    <t>Losses (excl. on-farm)</t>
  </si>
  <si>
    <t>Exports</t>
  </si>
  <si>
    <t>Total use</t>
  </si>
  <si>
    <t>Ending stocks</t>
  </si>
  <si>
    <t>- Market</t>
  </si>
  <si>
    <t>- Intervention</t>
  </si>
  <si>
    <t>Self-sufficiency rate (%)</t>
  </si>
  <si>
    <t>EU Soft Wheat</t>
  </si>
  <si>
    <t>EU Durum Wheat</t>
  </si>
  <si>
    <t>EU Barley</t>
  </si>
  <si>
    <t>EU Maize</t>
  </si>
  <si>
    <t>EU Rye</t>
  </si>
  <si>
    <t>EU Sorghum</t>
  </si>
  <si>
    <t>EU Oats</t>
  </si>
  <si>
    <t>EU Triticale</t>
  </si>
  <si>
    <t>EU Other Cereals</t>
  </si>
  <si>
    <t>EU Oilseeds</t>
  </si>
  <si>
    <t>Meal (t)</t>
  </si>
  <si>
    <t>Meal (incl. Imports) (t)</t>
  </si>
  <si>
    <t>Oil (t)</t>
  </si>
  <si>
    <t>Oil (incl. Imports) (t)</t>
  </si>
  <si>
    <t>Oil for Food</t>
  </si>
  <si>
    <t>Oil for Industry</t>
  </si>
  <si>
    <t>Remaining</t>
  </si>
  <si>
    <t>Rapeseed</t>
  </si>
  <si>
    <t>Soya beans</t>
  </si>
  <si>
    <t>Sunflower</t>
  </si>
  <si>
    <t>Production</t>
  </si>
  <si>
    <t>of which crushing</t>
  </si>
  <si>
    <t>https://apps.fas.usda.gov/newgainapi/api/Report/DownloadReportByFileName?fileName=Oilseeds+and+Products+Annual_Vienna_European+Union_E42023-0015.pdf</t>
  </si>
  <si>
    <t>Soybean</t>
  </si>
  <si>
    <t>Item</t>
  </si>
  <si>
    <t>2023/24 (t)</t>
  </si>
  <si>
    <t>Share of Total Dom. Cons. (decimal)</t>
  </si>
  <si>
    <t>Crush</t>
  </si>
  <si>
    <t>Extraction Rate</t>
  </si>
  <si>
    <t>Beginning Stocks</t>
  </si>
  <si>
    <t>MY Imports</t>
  </si>
  <si>
    <t>Total Supply</t>
  </si>
  <si>
    <t>MY Exports</t>
  </si>
  <si>
    <t>Industrial Dom. Cons.</t>
  </si>
  <si>
    <t>Food Use Dom. Cons.</t>
  </si>
  <si>
    <t>Feed Waste Dom. Cons.</t>
  </si>
  <si>
    <t>Total Dom. Cons.</t>
  </si>
  <si>
    <t>Ending Stocks</t>
  </si>
  <si>
    <t>Total Distribution</t>
  </si>
  <si>
    <t>Oil</t>
  </si>
  <si>
    <t>Industrial Dom. Cons. (t)</t>
  </si>
  <si>
    <t>Food Use Dom. Cons. (t)</t>
  </si>
  <si>
    <t>Feed Waste Dom. Cons. (t)</t>
  </si>
  <si>
    <t>Total Dom. Cons. (t)</t>
  </si>
  <si>
    <t>Industrial share (decimal)</t>
  </si>
  <si>
    <t>Food share (decimal)</t>
  </si>
  <si>
    <t>Feed Waste share (decimal)</t>
  </si>
  <si>
    <t>Soybean oil</t>
  </si>
  <si>
    <t>Rapeseed oil</t>
  </si>
  <si>
    <t>Sunflower oil</t>
  </si>
  <si>
    <t>Palm Oil</t>
  </si>
  <si>
    <t>EU Oilmeals</t>
  </si>
  <si>
    <t>Primary Crop Equivalent</t>
  </si>
  <si>
    <t>Meal remaining after animal feed</t>
  </si>
  <si>
    <t>EU Vegetable Oils</t>
  </si>
  <si>
    <t>Palm</t>
  </si>
  <si>
    <t>1.5 1.5 1.5</t>
  </si>
  <si>
    <t>EU Protein Crops</t>
  </si>
  <si>
    <t>Field peas</t>
  </si>
  <si>
    <t>Broad beans</t>
  </si>
  <si>
    <t>Lupins</t>
  </si>
  <si>
    <t>other dry pulses</t>
  </si>
  <si>
    <t>Lentils</t>
  </si>
  <si>
    <t>Chickpeas</t>
  </si>
  <si>
    <t>EU White Sugar</t>
  </si>
  <si>
    <t>Area (of sugar beet) (1 000 ha)</t>
  </si>
  <si>
    <t>Yield (of sugar beet) (t/ha)</t>
  </si>
  <si>
    <t>Production (of sugar beet) (million t of beet)</t>
  </si>
  <si>
    <t>White sugar production</t>
  </si>
  <si>
    <t>Domestic use white sugar</t>
  </si>
  <si>
    <t>o.w. net exports in processed products</t>
  </si>
  <si>
    <t>o.w. bioethanol</t>
  </si>
  <si>
    <t>Change in stocks</t>
  </si>
  <si>
    <t>EU Isoglucose</t>
  </si>
  <si>
    <t>Share in caloric sweetener use %</t>
  </si>
  <si>
    <t>EU Olive Oil</t>
  </si>
  <si>
    <t>Area (of olives for oil) (1 000 ha)</t>
  </si>
  <si>
    <t>Yield (of olives for oil) (t/ha)</t>
  </si>
  <si>
    <t>Yield (of oil of olives) (oil/kg of olives)</t>
  </si>
  <si>
    <t>Consumption</t>
  </si>
  <si>
    <t>ES+IT+EL+PT</t>
  </si>
  <si>
    <t>rest EU</t>
  </si>
  <si>
    <t>Per capita consumption (kg)</t>
  </si>
  <si>
    <t>EU Wine</t>
  </si>
  <si>
    <t>Area (million ha)</t>
  </si>
  <si>
    <t>Yield (hl/ha)</t>
  </si>
  <si>
    <t>Vinified production</t>
  </si>
  <si>
    <t>of which 5 main producing MS1</t>
  </si>
  <si>
    <t>of which other EU MS</t>
  </si>
  <si>
    <t>Human consumption</t>
  </si>
  <si>
    <t>Per capita consumption (l)</t>
  </si>
  <si>
    <t>other use</t>
  </si>
  <si>
    <t>EU Apples</t>
  </si>
  <si>
    <t>Area (1000 ha)</t>
  </si>
  <si>
    <t>Total production</t>
  </si>
  <si>
    <t>of which losses and feed use</t>
  </si>
  <si>
    <t>of which usable production</t>
  </si>
  <si>
    <t>Production (fresh)</t>
  </si>
  <si>
    <t>Exports (fresh)</t>
  </si>
  <si>
    <t>Imports (fresh)</t>
  </si>
  <si>
    <t>Consumption (fresh)</t>
  </si>
  <si>
    <t>Per capita consumption (kg) - fresh</t>
  </si>
  <si>
    <t>Ending stocks1</t>
  </si>
  <si>
    <t>Self-sufficiency rate (fresh) %</t>
  </si>
  <si>
    <t>Production (processed)</t>
  </si>
  <si>
    <t>Exports (processed)</t>
  </si>
  <si>
    <t>Imports (processed)</t>
  </si>
  <si>
    <t>Consumption (processed)</t>
  </si>
  <si>
    <t>Per capita consumption (kg) - processed</t>
  </si>
  <si>
    <t>Self-sufficiency rate (processed) %</t>
  </si>
  <si>
    <t>EU Oranges</t>
  </si>
  <si>
    <t>EU Peaches And Nectarines</t>
  </si>
  <si>
    <t>Total area (1000 ha)</t>
  </si>
  <si>
    <t>Total Yield (t/ha)</t>
  </si>
  <si>
    <t>Area (1000 ha) - fresh
Yield (t/ha) - fresh</t>
  </si>
  <si>
    <t>of which IT, EL, ES and FR</t>
  </si>
  <si>
    <t>Area (1000 ha) - processed</t>
  </si>
  <si>
    <t>Yield (t/ha) - processed</t>
  </si>
  <si>
    <t>of which  EL and ES</t>
  </si>
  <si>
    <t>EU Tomatoes</t>
  </si>
  <si>
    <t>of which ES,IT, PT</t>
  </si>
  <si>
    <t>of which other EU countries</t>
  </si>
  <si>
    <t>Consumption (processed)1</t>
  </si>
  <si>
    <t>EU Milk Supply And Utilisation</t>
  </si>
  <si>
    <t>Dairy cows (million heads)1</t>
  </si>
  <si>
    <t>Milk yield (kg/dairy cow)2</t>
  </si>
  <si>
    <t>Cow milk production (million t)</t>
  </si>
  <si>
    <t>Feed use (million t)</t>
  </si>
  <si>
    <t>On farm use and direct sales (million t)</t>
  </si>
  <si>
    <t>Delivered to dairies (million t)</t>
  </si>
  <si>
    <t>Delivery ratio (%)3</t>
  </si>
  <si>
    <t>Fat content of milk (%)</t>
  </si>
  <si>
    <t>Protein content of milk (%)</t>
  </si>
  <si>
    <t>EU Cheese</t>
  </si>
  <si>
    <t>Production (in dairies)</t>
  </si>
  <si>
    <t>of which from pure cow's milk</t>
  </si>
  <si>
    <t>of which from other milk1</t>
  </si>
  <si>
    <t>Processed cheese impact2</t>
  </si>
  <si>
    <t>Imports3</t>
  </si>
  <si>
    <t>Domestic use4</t>
  </si>
  <si>
    <t>Processing use</t>
  </si>
  <si>
    <t>per capita consumption (kg)</t>
  </si>
  <si>
    <t>EU Fresh Dairy Products</t>
  </si>
  <si>
    <t>of which Drinking Milk</t>
  </si>
  <si>
    <t>of which Cream</t>
  </si>
  <si>
    <t>of which Acidified Milk</t>
  </si>
  <si>
    <t>of which other Fresh Products1</t>
  </si>
  <si>
    <t>Consumption2</t>
  </si>
  <si>
    <t>EU Whole Milk Powder</t>
  </si>
  <si>
    <t>Domestic use1</t>
  </si>
  <si>
    <t>EU Skimmed Milk Powder</t>
  </si>
  <si>
    <t>Private</t>
  </si>
  <si>
    <t>Public (intervention)</t>
  </si>
  <si>
    <t>EU Butter Market</t>
  </si>
  <si>
    <t>EU Whey Market</t>
  </si>
  <si>
    <t>EU Aggregate Meat</t>
  </si>
  <si>
    <t>Gross Indigenous Production</t>
  </si>
  <si>
    <t>Live Imports</t>
  </si>
  <si>
    <t>Live Exports</t>
  </si>
  <si>
    <t>Net Production</t>
  </si>
  <si>
    <t>Meat Imports</t>
  </si>
  <si>
    <t>Meat Exports</t>
  </si>
  <si>
    <t>Per capita consumption1 (kg)</t>
  </si>
  <si>
    <t>Self-sufficiency (%)</t>
  </si>
  <si>
    <t>EU Beef And Veal</t>
  </si>
  <si>
    <t>EU Pigmeat</t>
  </si>
  <si>
    <t>EU Poultry Meat</t>
  </si>
  <si>
    <t>Component</t>
  </si>
  <si>
    <t>2023/2024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</si>
</sst>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1" xfId="0" applyBorder="1"/>
    <xf numFmtId="0" fontId="0" fillId="0" borderId="2" xfId="0" applyBorder="1"/>
    <xf numFmtId="3" fontId="0" fillId="0" borderId="2" xfId="0" applyNumberFormat="1" applyBorder="1"/>
    <xf numFmtId="0" fontId="0" fillId="0" borderId="3" xfId="0" applyBorder="1"/>
    <xf numFmtId="3" fontId="0" fillId="0" borderId="4" xfId="0" applyNumberFormat="1" applyBorder="1"/>
    <xf numFmtId="0" fontId="0" fillId="0" borderId="5" xfId="0" applyBorder="1"/>
    <xf numFmtId="3" fontId="0" fillId="0" borderId="6" xfId="0" applyNumberFormat="1" applyBorder="1"/>
    <xf numFmtId="0" fontId="0" fillId="0" borderId="4" xfId="0" applyBorder="1"/>
    <xf numFmtId="0" fontId="1" fillId="0" borderId="8" xfId="0" applyFont="1" applyBorder="1"/>
    <xf numFmtId="0" fontId="1" fillId="0" borderId="9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0" fillId="0" borderId="6" xfId="0" applyNumberFormat="1" applyBorder="1"/>
    <xf numFmtId="2" fontId="0" fillId="0" borderId="6" xfId="0" applyNumberFormat="1" applyBorder="1"/>
    <xf numFmtId="3" fontId="0" fillId="0" borderId="0" xfId="0" applyNumberFormat="1"/>
    <xf numFmtId="0" fontId="0" fillId="0" borderId="8" xfId="0" applyBorder="1"/>
    <xf numFmtId="0" fontId="0" fillId="0" borderId="13" xfId="0" applyBorder="1"/>
    <xf numFmtId="0" fontId="0" fillId="0" borderId="7" xfId="0" applyBorder="1"/>
    <xf numFmtId="3" fontId="0" fillId="0" borderId="12" xfId="0" applyNumberFormat="1" applyBorder="1"/>
    <xf numFmtId="3" fontId="0" fillId="0" borderId="11" xfId="0" applyNumberFormat="1" applyBorder="1"/>
    <xf numFmtId="3" fontId="0" fillId="0" borderId="10" xfId="0" applyNumberFormat="1" applyBorder="1"/>
    <xf numFmtId="3" fontId="0" fillId="0" borderId="14" xfId="0" applyNumberFormat="1" applyBorder="1"/>
    <xf numFmtId="3" fontId="0" fillId="0" borderId="15" xfId="0" applyNumberFormat="1" applyBorder="1"/>
    <xf numFmtId="0" fontId="1" fillId="0" borderId="7" xfId="0" applyFont="1" applyBorder="1"/>
    <xf numFmtId="4" fontId="0" fillId="0" borderId="4" xfId="0" applyNumberFormat="1" applyBorder="1"/>
    <xf numFmtId="4" fontId="0" fillId="0" borderId="6" xfId="0" applyNumberFormat="1" applyBorder="1"/>
    <xf numFmtId="0" fontId="0" fillId="0" borderId="6" xfId="0" applyBorder="1"/>
    <xf numFmtId="10" fontId="0" fillId="0" borderId="0" xfId="1" applyNumberFormat="1" applyFont="1"/>
    <xf numFmtId="10" fontId="0" fillId="0" borderId="4" xfId="1" applyNumberFormat="1" applyFont="1" applyBorder="1"/>
    <xf numFmtId="0" fontId="1" fillId="0" borderId="16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0" fillId="0" borderId="9" xfId="0" applyBorder="1"/>
    <xf numFmtId="0" fontId="0" fillId="0" borderId="15" xfId="0" applyBorder="1"/>
    <xf numFmtId="0" fontId="1" fillId="0" borderId="19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9" fontId="0" fillId="0" borderId="4" xfId="1" applyFont="1" applyBorder="1"/>
    <xf numFmtId="0" fontId="1" fillId="0" borderId="18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3" fillId="0" borderId="0" xfId="2"/>
  </cellXfs>
  <cellStyles count="3">
    <cellStyle name="Link" xfId="2" builtinId="8"/>
    <cellStyle name="Prozent" xfId="1" builtinId="5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goetheuniversitaet-my.sharepoint.com/personal/4b2k2jbf6y_goetheuniversitaet_onmicrosoft_com/Documents/0_RIFS_neu/Fertilizer/Essential%20Files/Protein%20Balance%20Sheet_incl.%20Roughage%20Volumes.xlsx" TargetMode="External"/><Relationship Id="rId2" Type="http://schemas.microsoft.com/office/2019/04/relationships/externalLinkLongPath" Target="Protein%20Balance%20Sheet_incl.%20Roughage%20Volumes.xlsx?153F685F" TargetMode="External"/><Relationship Id="rId1" Type="http://schemas.openxmlformats.org/officeDocument/2006/relationships/externalLinkPath" Target="file:///\\153F685F\Protein%20Balance%20Sheet_incl.%20Roughage%20Volume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oetheuniversitaet-my.sharepoint.com/personal/4b2k2jbf6y_goetheuniversitaet_onmicrosoft_com/Documents/0_RIFS_neu/Fertilizer/Essential%20Files/Embedded%20Nitrogen%20in%20Crop%20Imports.xlsx" TargetMode="External"/><Relationship Id="rId1" Type="http://schemas.openxmlformats.org/officeDocument/2006/relationships/externalLinkPath" Target="Embedded%20Nitrogen%20in%20Crop%20Impor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Explanatory Note"/>
      <sheetName val="2023-24"/>
      <sheetName val="2022-23"/>
      <sheetName val="2021-22"/>
      <sheetName val="2020-21"/>
      <sheetName val="2019-20"/>
      <sheetName val="2018-19"/>
      <sheetName val="2017-18"/>
      <sheetName val="2016-17"/>
      <sheetName val="2015-16"/>
      <sheetName val="2014-15"/>
      <sheetName val="2013-14"/>
      <sheetName val="2012-13"/>
      <sheetName val="2011-12"/>
      <sheetName val="methodology"/>
      <sheetName val="Updates"/>
      <sheetName val="oilseed data"/>
      <sheetName val="cereal data"/>
      <sheetName val="protein crop data"/>
      <sheetName val="Raw Data"/>
    </sheetNames>
    <sheetDataSet>
      <sheetData sheetId="0"/>
      <sheetData sheetId="1">
        <row r="9">
          <cell r="E9">
            <v>254.28978724266889</v>
          </cell>
        </row>
        <row r="23">
          <cell r="F23">
            <v>1.2</v>
          </cell>
        </row>
        <row r="24">
          <cell r="F24">
            <v>0.19816789999999995</v>
          </cell>
        </row>
        <row r="25">
          <cell r="F25">
            <v>0.20369079999999998</v>
          </cell>
        </row>
        <row r="38">
          <cell r="F38">
            <v>25.784223915737929</v>
          </cell>
        </row>
        <row r="45">
          <cell r="F45">
            <v>13.933155672756378</v>
          </cell>
        </row>
        <row r="51">
          <cell r="F51">
            <v>6.9095204634257117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F11">
            <v>48.358999999999995</v>
          </cell>
        </row>
      </sheetData>
      <sheetData sheetId="10">
        <row r="9">
          <cell r="F9">
            <v>160.48089631412591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le1"/>
      <sheetName val="Assumptions_Conversions"/>
    </sheetNames>
    <sheetDataSet>
      <sheetData sheetId="0">
        <row r="6">
          <cell r="C6">
            <v>2745057.2680000002</v>
          </cell>
        </row>
      </sheetData>
      <sheetData sheetId="1">
        <row r="3">
          <cell r="D3">
            <v>0.57999999999999996</v>
          </cell>
        </row>
        <row r="4">
          <cell r="D4">
            <v>0.38</v>
          </cell>
        </row>
        <row r="5">
          <cell r="D5">
            <v>0.79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apps.fas.usda.gov/newgainapi/api/Report/DownloadReportByFileName?fileName=Oilseeds+and+Products+Annual_Vienna_European+Union_E42023-001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>
      <selection activeCell="J8" sqref="J8"/>
    </sheetView>
  </sheetViews>
  <sheetFormatPr defaultColWidth="8.85546875" defaultRowHeight="14.45"/>
  <cols>
    <col min="1" max="1" width="27.7109375" customWidth="1"/>
    <col min="2" max="2" width="12.7109375" customWidth="1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3">
        <v>50608000</v>
      </c>
    </row>
    <row r="3" spans="1:2">
      <c r="A3" s="4" t="s">
        <v>3</v>
      </c>
      <c r="B3" s="5">
        <v>5.3</v>
      </c>
    </row>
    <row r="4" spans="1:2">
      <c r="A4" s="4" t="s">
        <v>4</v>
      </c>
      <c r="B4" s="5">
        <v>50800000</v>
      </c>
    </row>
    <row r="5" spans="1:2">
      <c r="A5" s="4" t="s">
        <v>5</v>
      </c>
      <c r="B5" s="5">
        <v>270200000</v>
      </c>
    </row>
    <row r="6" spans="1:2">
      <c r="A6" s="4" t="s">
        <v>6</v>
      </c>
      <c r="B6" s="5">
        <v>267800000</v>
      </c>
    </row>
    <row r="7" spans="1:2">
      <c r="A7" s="4" t="s">
        <v>7</v>
      </c>
      <c r="B7" s="5">
        <v>33600000</v>
      </c>
    </row>
    <row r="8" spans="1:2">
      <c r="A8" s="6" t="s">
        <v>8</v>
      </c>
      <c r="B8" s="7">
        <v>352200000</v>
      </c>
    </row>
    <row r="9" spans="1:2">
      <c r="A9" s="1" t="s">
        <v>9</v>
      </c>
      <c r="B9" s="3">
        <v>255600000</v>
      </c>
    </row>
    <row r="10" spans="1:2">
      <c r="A10" s="4" t="s">
        <v>10</v>
      </c>
      <c r="B10" s="5">
        <v>59500000</v>
      </c>
    </row>
    <row r="11" spans="1:2">
      <c r="A11" s="4" t="s">
        <v>11</v>
      </c>
      <c r="B11" s="5">
        <v>9000000</v>
      </c>
    </row>
    <row r="12" spans="1:2">
      <c r="A12" s="4" t="s">
        <v>12</v>
      </c>
      <c r="B12" s="5">
        <v>30300000</v>
      </c>
    </row>
    <row r="13" spans="1:2">
      <c r="A13" s="4" t="s">
        <v>13</v>
      </c>
      <c r="B13" s="5">
        <v>12100000</v>
      </c>
    </row>
    <row r="14" spans="1:2">
      <c r="A14" s="4" t="s">
        <v>14</v>
      </c>
      <c r="B14" s="5">
        <v>156900000</v>
      </c>
    </row>
    <row r="15" spans="1:2">
      <c r="A15" s="4" t="s">
        <v>15</v>
      </c>
      <c r="B15" s="5">
        <v>1600000</v>
      </c>
    </row>
    <row r="16" spans="1:2">
      <c r="A16" s="6" t="s">
        <v>16</v>
      </c>
      <c r="B16" s="7">
        <v>51600000</v>
      </c>
    </row>
    <row r="17" spans="1:2">
      <c r="A17" s="4" t="s">
        <v>17</v>
      </c>
      <c r="B17" s="5">
        <v>308900000</v>
      </c>
    </row>
    <row r="18" spans="1:2">
      <c r="A18" s="4" t="s">
        <v>18</v>
      </c>
      <c r="B18" s="5">
        <v>43400000</v>
      </c>
    </row>
    <row r="19" spans="1:2">
      <c r="A19" s="4" t="s">
        <v>19</v>
      </c>
      <c r="B19" s="5">
        <v>43400000</v>
      </c>
    </row>
    <row r="20" spans="1:2">
      <c r="A20" s="4" t="s">
        <v>20</v>
      </c>
      <c r="B20" s="5">
        <v>0</v>
      </c>
    </row>
    <row r="21" spans="1:2">
      <c r="A21" s="6" t="s">
        <v>21</v>
      </c>
      <c r="B21" s="7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>
      <selection activeCell="B5" sqref="B5"/>
    </sheetView>
  </sheetViews>
  <sheetFormatPr defaultColWidth="8.85546875" defaultRowHeight="14.45"/>
  <cols>
    <col min="1" max="1" width="27.7109375" customWidth="1"/>
    <col min="2" max="2" width="12.7109375" customWidth="1"/>
  </cols>
  <sheetData>
    <row r="1" spans="1:2">
      <c r="A1" s="1" t="s">
        <v>22</v>
      </c>
      <c r="B1" s="2" t="s">
        <v>1</v>
      </c>
    </row>
    <row r="2" spans="1:2">
      <c r="A2" s="1" t="s">
        <v>2</v>
      </c>
      <c r="B2" s="3">
        <v>21916000</v>
      </c>
    </row>
    <row r="3" spans="1:2">
      <c r="A3" s="4" t="s">
        <v>3</v>
      </c>
      <c r="B3" s="5">
        <v>5.8</v>
      </c>
    </row>
    <row r="4" spans="1:2">
      <c r="A4" s="4" t="s">
        <v>4</v>
      </c>
      <c r="B4" s="5">
        <v>19500000</v>
      </c>
    </row>
    <row r="5" spans="1:2">
      <c r="A5" s="4" t="s">
        <v>5</v>
      </c>
      <c r="B5" s="5">
        <v>126200000</v>
      </c>
    </row>
    <row r="6" spans="1:2">
      <c r="A6" s="4" t="s">
        <v>6</v>
      </c>
      <c r="B6" s="5">
        <v>125200000</v>
      </c>
    </row>
    <row r="7" spans="1:2">
      <c r="A7" s="4" t="s">
        <v>7</v>
      </c>
      <c r="B7" s="5">
        <v>9600000</v>
      </c>
    </row>
    <row r="8" spans="1:2">
      <c r="A8" s="6" t="s">
        <v>8</v>
      </c>
      <c r="B8" s="7">
        <v>154300000</v>
      </c>
    </row>
    <row r="9" spans="1:2">
      <c r="A9" s="1" t="s">
        <v>9</v>
      </c>
      <c r="B9" s="3">
        <v>101400000</v>
      </c>
    </row>
    <row r="10" spans="1:2">
      <c r="A10" s="4" t="s">
        <v>10</v>
      </c>
      <c r="B10" s="5">
        <v>41800000</v>
      </c>
    </row>
    <row r="11" spans="1:2">
      <c r="A11" s="4" t="s">
        <v>11</v>
      </c>
      <c r="B11" s="5">
        <v>4600000</v>
      </c>
    </row>
    <row r="12" spans="1:2">
      <c r="A12" s="4" t="s">
        <v>12</v>
      </c>
      <c r="B12" s="5">
        <v>9200000</v>
      </c>
    </row>
    <row r="13" spans="1:2">
      <c r="A13" s="4" t="s">
        <v>13</v>
      </c>
      <c r="B13" s="5">
        <v>3400000</v>
      </c>
    </row>
    <row r="14" spans="1:2">
      <c r="A14" s="4" t="s">
        <v>14</v>
      </c>
      <c r="B14" s="5">
        <v>45800000</v>
      </c>
    </row>
    <row r="15" spans="1:2">
      <c r="A15" s="4" t="s">
        <v>15</v>
      </c>
      <c r="B15" s="5">
        <v>800000</v>
      </c>
    </row>
    <row r="16" spans="1:2">
      <c r="A16" s="6" t="s">
        <v>16</v>
      </c>
      <c r="B16" s="7">
        <v>35400000</v>
      </c>
    </row>
    <row r="17" spans="1:2">
      <c r="A17" s="4" t="s">
        <v>17</v>
      </c>
      <c r="B17" s="5">
        <v>137500000</v>
      </c>
    </row>
    <row r="18" spans="1:2">
      <c r="A18" s="4" t="s">
        <v>18</v>
      </c>
      <c r="B18" s="5">
        <v>16800000</v>
      </c>
    </row>
    <row r="19" spans="1:2">
      <c r="A19" s="4" t="s">
        <v>19</v>
      </c>
      <c r="B19" s="5">
        <v>16800000</v>
      </c>
    </row>
    <row r="20" spans="1:2">
      <c r="A20" s="4" t="s">
        <v>20</v>
      </c>
      <c r="B20" s="5">
        <v>0</v>
      </c>
    </row>
    <row r="21" spans="1:2">
      <c r="A21" s="6" t="s">
        <v>21</v>
      </c>
      <c r="B21" s="7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"/>
  <sheetViews>
    <sheetView workbookViewId="0">
      <selection activeCell="C30" sqref="C30"/>
    </sheetView>
  </sheetViews>
  <sheetFormatPr defaultColWidth="8.85546875" defaultRowHeight="14.45"/>
  <cols>
    <col min="1" max="1" width="27.7109375" customWidth="1"/>
    <col min="2" max="2" width="12.7109375" customWidth="1"/>
  </cols>
  <sheetData>
    <row r="1" spans="1:2">
      <c r="A1" s="1" t="s">
        <v>23</v>
      </c>
      <c r="B1" s="2" t="s">
        <v>1</v>
      </c>
    </row>
    <row r="2" spans="1:2">
      <c r="A2" s="1" t="s">
        <v>2</v>
      </c>
      <c r="B2" s="3">
        <v>2317000</v>
      </c>
    </row>
    <row r="3" spans="1:2">
      <c r="A3" s="4" t="s">
        <v>3</v>
      </c>
      <c r="B3" s="5">
        <v>3.2</v>
      </c>
    </row>
    <row r="4" spans="1:2">
      <c r="A4" s="4" t="s">
        <v>4</v>
      </c>
      <c r="B4" s="5">
        <v>800000</v>
      </c>
    </row>
    <row r="5" spans="1:2">
      <c r="A5" s="4" t="s">
        <v>5</v>
      </c>
      <c r="B5" s="5">
        <v>7500000</v>
      </c>
    </row>
    <row r="6" spans="1:2">
      <c r="A6" s="4" t="s">
        <v>6</v>
      </c>
      <c r="B6" s="5">
        <v>7400000</v>
      </c>
    </row>
    <row r="7" spans="1:2">
      <c r="A7" s="4" t="s">
        <v>7</v>
      </c>
      <c r="B7" s="5">
        <v>2500000</v>
      </c>
    </row>
    <row r="8" spans="1:2">
      <c r="A8" s="6" t="s">
        <v>8</v>
      </c>
      <c r="B8" s="7">
        <v>10700000</v>
      </c>
    </row>
    <row r="9" spans="1:2">
      <c r="A9" s="1" t="s">
        <v>9</v>
      </c>
      <c r="B9" s="3">
        <v>9000000</v>
      </c>
    </row>
    <row r="10" spans="1:2">
      <c r="A10" s="4" t="s">
        <v>10</v>
      </c>
      <c r="B10" s="5">
        <v>8199999.9999999991</v>
      </c>
    </row>
    <row r="11" spans="1:2">
      <c r="A11" s="4" t="s">
        <v>11</v>
      </c>
      <c r="B11" s="5">
        <v>400000</v>
      </c>
    </row>
    <row r="12" spans="1:2">
      <c r="A12" s="4" t="s">
        <v>12</v>
      </c>
      <c r="B12" s="5">
        <v>100000</v>
      </c>
    </row>
    <row r="13" spans="1:2">
      <c r="A13" s="4" t="s">
        <v>14</v>
      </c>
      <c r="B13" s="5">
        <v>300000</v>
      </c>
    </row>
    <row r="14" spans="1:2">
      <c r="A14" s="4" t="s">
        <v>15</v>
      </c>
      <c r="B14" s="5">
        <v>0</v>
      </c>
    </row>
    <row r="15" spans="1:2">
      <c r="A15" s="6" t="s">
        <v>16</v>
      </c>
      <c r="B15" s="7">
        <v>1100000</v>
      </c>
    </row>
    <row r="16" spans="1:2">
      <c r="A16" s="4" t="s">
        <v>17</v>
      </c>
      <c r="B16" s="5">
        <v>10100000</v>
      </c>
    </row>
    <row r="17" spans="1:2">
      <c r="A17" s="4" t="s">
        <v>18</v>
      </c>
      <c r="B17" s="5">
        <v>700000</v>
      </c>
    </row>
    <row r="18" spans="1:2">
      <c r="A18" s="4" t="s">
        <v>19</v>
      </c>
      <c r="B18" s="5">
        <v>700000</v>
      </c>
    </row>
    <row r="19" spans="1:2">
      <c r="A19" s="6" t="s">
        <v>21</v>
      </c>
      <c r="B19" s="7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workbookViewId="0"/>
  </sheetViews>
  <sheetFormatPr defaultColWidth="8.85546875" defaultRowHeight="14.45"/>
  <cols>
    <col min="1" max="1" width="27.7109375" customWidth="1"/>
    <col min="2" max="2" width="12.7109375" customWidth="1"/>
  </cols>
  <sheetData>
    <row r="1" spans="1:2">
      <c r="A1" s="1" t="s">
        <v>24</v>
      </c>
      <c r="B1" s="2" t="s">
        <v>1</v>
      </c>
    </row>
    <row r="2" spans="1:2">
      <c r="A2" s="1" t="s">
        <v>2</v>
      </c>
      <c r="B2" s="3">
        <v>10368000</v>
      </c>
    </row>
    <row r="3" spans="1:2">
      <c r="A3" s="4" t="s">
        <v>3</v>
      </c>
      <c r="B3" s="5">
        <v>4.5999999999999996</v>
      </c>
    </row>
    <row r="4" spans="1:2">
      <c r="A4" s="4" t="s">
        <v>4</v>
      </c>
      <c r="B4" s="5">
        <v>5700000</v>
      </c>
    </row>
    <row r="5" spans="1:2">
      <c r="A5" s="4" t="s">
        <v>5</v>
      </c>
      <c r="B5" s="5">
        <v>47500000</v>
      </c>
    </row>
    <row r="6" spans="1:2">
      <c r="A6" s="4" t="s">
        <v>6</v>
      </c>
      <c r="B6" s="5">
        <v>47000000</v>
      </c>
    </row>
    <row r="7" spans="1:2">
      <c r="A7" s="4" t="s">
        <v>7</v>
      </c>
      <c r="B7" s="5">
        <v>2000000</v>
      </c>
    </row>
    <row r="8" spans="1:2">
      <c r="A8" s="6" t="s">
        <v>8</v>
      </c>
      <c r="B8" s="7">
        <v>54700000</v>
      </c>
    </row>
    <row r="9" spans="1:2">
      <c r="A9" s="1" t="s">
        <v>9</v>
      </c>
      <c r="B9" s="3">
        <v>40800000</v>
      </c>
    </row>
    <row r="10" spans="1:2">
      <c r="A10" s="4" t="s">
        <v>10</v>
      </c>
      <c r="B10" s="5">
        <v>400000</v>
      </c>
    </row>
    <row r="11" spans="1:2">
      <c r="A11" s="4" t="s">
        <v>11</v>
      </c>
      <c r="B11" s="5">
        <v>2100000</v>
      </c>
    </row>
    <row r="12" spans="1:2">
      <c r="A12" s="4" t="s">
        <v>12</v>
      </c>
      <c r="B12" s="5">
        <v>6800000</v>
      </c>
    </row>
    <row r="13" spans="1:2">
      <c r="A13" s="4" t="s">
        <v>13</v>
      </c>
      <c r="B13" s="5">
        <v>500000</v>
      </c>
    </row>
    <row r="14" spans="1:2">
      <c r="A14" s="4" t="s">
        <v>14</v>
      </c>
      <c r="B14" s="5">
        <v>31500000</v>
      </c>
    </row>
    <row r="15" spans="1:2">
      <c r="A15" s="4" t="s">
        <v>15</v>
      </c>
      <c r="B15" s="5">
        <v>300000</v>
      </c>
    </row>
    <row r="16" spans="1:2">
      <c r="A16" s="6" t="s">
        <v>16</v>
      </c>
      <c r="B16" s="7">
        <v>10000000</v>
      </c>
    </row>
    <row r="17" spans="1:2">
      <c r="A17" s="4" t="s">
        <v>17</v>
      </c>
      <c r="B17" s="5">
        <v>51000000</v>
      </c>
    </row>
    <row r="18" spans="1:2">
      <c r="A18" s="4" t="s">
        <v>18</v>
      </c>
      <c r="B18" s="5">
        <v>3600000</v>
      </c>
    </row>
    <row r="19" spans="1:2">
      <c r="A19" s="4" t="s">
        <v>19</v>
      </c>
      <c r="B19" s="5">
        <v>3600000</v>
      </c>
    </row>
    <row r="20" spans="1:2">
      <c r="A20" s="4" t="s">
        <v>20</v>
      </c>
      <c r="B20" s="5">
        <v>0</v>
      </c>
    </row>
    <row r="21" spans="1:2">
      <c r="A21" s="6" t="s">
        <v>21</v>
      </c>
      <c r="B21" s="7">
        <v>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1"/>
  <sheetViews>
    <sheetView workbookViewId="0">
      <selection activeCell="C27" sqref="C27"/>
    </sheetView>
  </sheetViews>
  <sheetFormatPr defaultColWidth="8.85546875" defaultRowHeight="14.45"/>
  <cols>
    <col min="1" max="1" width="27.7109375" customWidth="1"/>
    <col min="2" max="2" width="12.7109375" customWidth="1"/>
  </cols>
  <sheetData>
    <row r="1" spans="1:2">
      <c r="A1" s="1" t="s">
        <v>25</v>
      </c>
      <c r="B1" s="2" t="s">
        <v>1</v>
      </c>
    </row>
    <row r="2" spans="1:2">
      <c r="A2" s="1" t="s">
        <v>2</v>
      </c>
      <c r="B2" s="3">
        <v>8299000</v>
      </c>
    </row>
    <row r="3" spans="1:2">
      <c r="A3" s="4" t="s">
        <v>3</v>
      </c>
      <c r="B3" s="5">
        <v>7.4</v>
      </c>
    </row>
    <row r="4" spans="1:2">
      <c r="A4" s="4" t="s">
        <v>4</v>
      </c>
      <c r="B4" s="5">
        <v>20200000</v>
      </c>
    </row>
    <row r="5" spans="1:2">
      <c r="A5" s="4" t="s">
        <v>5</v>
      </c>
      <c r="B5" s="5">
        <v>61500000</v>
      </c>
    </row>
    <row r="6" spans="1:2">
      <c r="A6" s="4" t="s">
        <v>6</v>
      </c>
      <c r="B6" s="5">
        <v>61200000</v>
      </c>
    </row>
    <row r="7" spans="1:2">
      <c r="A7" s="4" t="s">
        <v>7</v>
      </c>
      <c r="B7" s="5">
        <v>19000000</v>
      </c>
    </row>
    <row r="8" spans="1:2">
      <c r="A8" s="6" t="s">
        <v>8</v>
      </c>
      <c r="B8" s="7">
        <v>100400000</v>
      </c>
    </row>
    <row r="9" spans="1:2">
      <c r="A9" s="1" t="s">
        <v>9</v>
      </c>
      <c r="B9" s="3">
        <v>76100000</v>
      </c>
    </row>
    <row r="10" spans="1:2">
      <c r="A10" s="4" t="s">
        <v>10</v>
      </c>
      <c r="B10" s="5">
        <v>4800000</v>
      </c>
    </row>
    <row r="11" spans="1:2">
      <c r="A11" s="4" t="s">
        <v>11</v>
      </c>
      <c r="B11" s="5">
        <v>400000</v>
      </c>
    </row>
    <row r="12" spans="1:2">
      <c r="A12" s="4" t="s">
        <v>12</v>
      </c>
      <c r="B12" s="5">
        <v>12000000</v>
      </c>
    </row>
    <row r="13" spans="1:2">
      <c r="A13" s="4" t="s">
        <v>13</v>
      </c>
      <c r="B13" s="5">
        <v>6900000</v>
      </c>
    </row>
    <row r="14" spans="1:2">
      <c r="A14" s="4" t="s">
        <v>14</v>
      </c>
      <c r="B14" s="5">
        <v>58900000</v>
      </c>
    </row>
    <row r="15" spans="1:2">
      <c r="A15" s="4" t="s">
        <v>15</v>
      </c>
      <c r="B15" s="5">
        <v>400000</v>
      </c>
    </row>
    <row r="16" spans="1:2">
      <c r="A16" s="6" t="s">
        <v>16</v>
      </c>
      <c r="B16" s="7">
        <v>4800000</v>
      </c>
    </row>
    <row r="17" spans="1:2">
      <c r="A17" s="4" t="s">
        <v>17</v>
      </c>
      <c r="B17" s="5">
        <v>81300000</v>
      </c>
    </row>
    <row r="18" spans="1:2">
      <c r="A18" s="4" t="s">
        <v>18</v>
      </c>
      <c r="B18" s="5">
        <v>19200000</v>
      </c>
    </row>
    <row r="19" spans="1:2">
      <c r="A19" s="4" t="s">
        <v>19</v>
      </c>
      <c r="B19" s="5">
        <v>19200000</v>
      </c>
    </row>
    <row r="20" spans="1:2">
      <c r="A20" s="4" t="s">
        <v>20</v>
      </c>
      <c r="B20" s="5">
        <v>0</v>
      </c>
    </row>
    <row r="21" spans="1:2">
      <c r="A21" s="6" t="s">
        <v>21</v>
      </c>
      <c r="B21" s="7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1"/>
  <sheetViews>
    <sheetView workbookViewId="0"/>
  </sheetViews>
  <sheetFormatPr defaultColWidth="8.85546875" defaultRowHeight="14.45"/>
  <cols>
    <col min="1" max="1" width="27.7109375" customWidth="1"/>
    <col min="2" max="2" width="12.7109375" customWidth="1"/>
  </cols>
  <sheetData>
    <row r="1" spans="1:2">
      <c r="A1" s="1" t="s">
        <v>26</v>
      </c>
      <c r="B1" s="2" t="s">
        <v>1</v>
      </c>
    </row>
    <row r="2" spans="1:2">
      <c r="A2" s="1" t="s">
        <v>2</v>
      </c>
      <c r="B2" s="3">
        <v>1859000</v>
      </c>
    </row>
    <row r="3" spans="1:2">
      <c r="A3" s="4" t="s">
        <v>3</v>
      </c>
      <c r="B3" s="5">
        <v>4.0999999999999996</v>
      </c>
    </row>
    <row r="4" spans="1:2">
      <c r="A4" s="4" t="s">
        <v>4</v>
      </c>
      <c r="B4" s="5">
        <v>1000000</v>
      </c>
    </row>
    <row r="5" spans="1:2">
      <c r="A5" s="4" t="s">
        <v>5</v>
      </c>
      <c r="B5" s="5">
        <v>7600000</v>
      </c>
    </row>
    <row r="6" spans="1:2">
      <c r="A6" s="4" t="s">
        <v>6</v>
      </c>
      <c r="B6" s="5">
        <v>7400000</v>
      </c>
    </row>
    <row r="7" spans="1:2">
      <c r="A7" s="4" t="s">
        <v>7</v>
      </c>
      <c r="B7" s="5">
        <v>200000</v>
      </c>
    </row>
    <row r="8" spans="1:2">
      <c r="A8" s="6" t="s">
        <v>8</v>
      </c>
      <c r="B8" s="7">
        <v>8600000</v>
      </c>
    </row>
    <row r="9" spans="1:2">
      <c r="A9" s="1" t="s">
        <v>9</v>
      </c>
      <c r="B9" s="3">
        <v>7500000</v>
      </c>
    </row>
    <row r="10" spans="1:2">
      <c r="A10" s="4" t="s">
        <v>10</v>
      </c>
      <c r="B10" s="5">
        <v>3100000</v>
      </c>
    </row>
    <row r="11" spans="1:2">
      <c r="A11" s="4" t="s">
        <v>11</v>
      </c>
      <c r="B11" s="5">
        <v>300000</v>
      </c>
    </row>
    <row r="12" spans="1:2">
      <c r="A12" s="4" t="s">
        <v>12</v>
      </c>
      <c r="B12" s="5">
        <v>1500000</v>
      </c>
    </row>
    <row r="13" spans="1:2">
      <c r="A13" s="4" t="s">
        <v>13</v>
      </c>
      <c r="B13" s="5">
        <v>900000</v>
      </c>
    </row>
    <row r="14" spans="1:2">
      <c r="A14" s="4" t="s">
        <v>14</v>
      </c>
      <c r="B14" s="5">
        <v>2700000</v>
      </c>
    </row>
    <row r="15" spans="1:2">
      <c r="A15" s="4" t="s">
        <v>15</v>
      </c>
      <c r="B15" s="5">
        <v>0</v>
      </c>
    </row>
    <row r="16" spans="1:2">
      <c r="A16" s="6" t="s">
        <v>16</v>
      </c>
      <c r="B16" s="7">
        <v>300000</v>
      </c>
    </row>
    <row r="17" spans="1:2">
      <c r="A17" s="4" t="s">
        <v>17</v>
      </c>
      <c r="B17" s="5">
        <v>7800000</v>
      </c>
    </row>
    <row r="18" spans="1:2">
      <c r="A18" s="4" t="s">
        <v>18</v>
      </c>
      <c r="B18" s="5">
        <v>700000</v>
      </c>
    </row>
    <row r="19" spans="1:2">
      <c r="A19" s="4" t="s">
        <v>19</v>
      </c>
      <c r="B19" s="5">
        <v>700000</v>
      </c>
    </row>
    <row r="20" spans="1:2">
      <c r="A20" s="4" t="s">
        <v>20</v>
      </c>
      <c r="B20" s="5">
        <v>0</v>
      </c>
    </row>
    <row r="21" spans="1:2">
      <c r="A21" s="6" t="s">
        <v>21</v>
      </c>
      <c r="B21" s="7">
        <v>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9"/>
  <sheetViews>
    <sheetView workbookViewId="0">
      <selection activeCell="I30" sqref="I30"/>
    </sheetView>
  </sheetViews>
  <sheetFormatPr defaultColWidth="8.85546875" defaultRowHeight="14.45"/>
  <cols>
    <col min="1" max="1" width="27.7109375" customWidth="1"/>
    <col min="2" max="2" width="12.7109375" customWidth="1"/>
  </cols>
  <sheetData>
    <row r="1" spans="1:2">
      <c r="A1" s="1" t="s">
        <v>27</v>
      </c>
      <c r="B1" s="2" t="s">
        <v>1</v>
      </c>
    </row>
    <row r="2" spans="1:2">
      <c r="A2" s="1" t="s">
        <v>2</v>
      </c>
      <c r="B2" s="3">
        <v>156000</v>
      </c>
    </row>
    <row r="3" spans="1:2">
      <c r="A3" s="4" t="s">
        <v>3</v>
      </c>
      <c r="B3" s="5">
        <v>5.3</v>
      </c>
    </row>
    <row r="4" spans="1:2">
      <c r="A4" s="4" t="s">
        <v>4</v>
      </c>
      <c r="B4" s="5">
        <v>500000</v>
      </c>
    </row>
    <row r="5" spans="1:2">
      <c r="A5" s="4" t="s">
        <v>5</v>
      </c>
      <c r="B5" s="5">
        <v>800000</v>
      </c>
    </row>
    <row r="6" spans="1:2">
      <c r="A6" s="4" t="s">
        <v>6</v>
      </c>
      <c r="B6" s="5">
        <v>800000</v>
      </c>
    </row>
    <row r="7" spans="1:2">
      <c r="A7" s="4" t="s">
        <v>7</v>
      </c>
      <c r="B7" s="5">
        <v>0</v>
      </c>
    </row>
    <row r="8" spans="1:2">
      <c r="A8" s="6" t="s">
        <v>8</v>
      </c>
      <c r="B8" s="7">
        <v>1300000</v>
      </c>
    </row>
    <row r="9" spans="1:2">
      <c r="A9" s="1" t="s">
        <v>9</v>
      </c>
      <c r="B9" s="3">
        <v>1100000</v>
      </c>
    </row>
    <row r="10" spans="1:2">
      <c r="A10" s="4" t="s">
        <v>10</v>
      </c>
      <c r="B10" s="5">
        <v>200000</v>
      </c>
    </row>
    <row r="11" spans="1:2">
      <c r="A11" s="4" t="s">
        <v>11</v>
      </c>
      <c r="B11" s="5">
        <v>0</v>
      </c>
    </row>
    <row r="12" spans="1:2">
      <c r="A12" s="4" t="s">
        <v>12</v>
      </c>
      <c r="B12" s="5">
        <v>0</v>
      </c>
    </row>
    <row r="13" spans="1:2">
      <c r="A13" s="4" t="s">
        <v>14</v>
      </c>
      <c r="B13" s="5">
        <v>900000</v>
      </c>
    </row>
    <row r="14" spans="1:2">
      <c r="A14" s="4" t="s">
        <v>15</v>
      </c>
      <c r="B14" s="5">
        <v>0</v>
      </c>
    </row>
    <row r="15" spans="1:2">
      <c r="A15" s="6" t="s">
        <v>16</v>
      </c>
      <c r="B15" s="7">
        <v>0</v>
      </c>
    </row>
    <row r="16" spans="1:2">
      <c r="A16" s="4" t="s">
        <v>17</v>
      </c>
      <c r="B16" s="5">
        <v>1100000</v>
      </c>
    </row>
    <row r="17" spans="1:2">
      <c r="A17" s="4" t="s">
        <v>18</v>
      </c>
      <c r="B17" s="5">
        <v>200000</v>
      </c>
    </row>
    <row r="18" spans="1:2">
      <c r="A18" s="4" t="s">
        <v>19</v>
      </c>
      <c r="B18" s="5">
        <v>200000</v>
      </c>
    </row>
    <row r="19" spans="1:2">
      <c r="A19" s="6" t="s">
        <v>21</v>
      </c>
      <c r="B19" s="7">
        <v>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9"/>
  <sheetViews>
    <sheetView workbookViewId="0"/>
  </sheetViews>
  <sheetFormatPr defaultColWidth="8.85546875" defaultRowHeight="14.45"/>
  <cols>
    <col min="1" max="1" width="27.7109375" customWidth="1"/>
    <col min="2" max="2" width="12.7109375" customWidth="1"/>
  </cols>
  <sheetData>
    <row r="1" spans="1:2">
      <c r="A1" s="1" t="s">
        <v>28</v>
      </c>
      <c r="B1" s="2" t="s">
        <v>1</v>
      </c>
    </row>
    <row r="2" spans="1:2">
      <c r="A2" s="1" t="s">
        <v>2</v>
      </c>
      <c r="B2" s="3">
        <v>2305000</v>
      </c>
    </row>
    <row r="3" spans="1:2">
      <c r="A3" s="4" t="s">
        <v>3</v>
      </c>
      <c r="B3" s="5">
        <v>2.6</v>
      </c>
    </row>
    <row r="4" spans="1:2">
      <c r="A4" s="4" t="s">
        <v>4</v>
      </c>
      <c r="B4" s="5">
        <v>1300000</v>
      </c>
    </row>
    <row r="5" spans="1:2">
      <c r="A5" s="4" t="s">
        <v>5</v>
      </c>
      <c r="B5" s="5">
        <v>5900000</v>
      </c>
    </row>
    <row r="6" spans="1:2">
      <c r="A6" s="4" t="s">
        <v>6</v>
      </c>
      <c r="B6" s="5">
        <v>5800000</v>
      </c>
    </row>
    <row r="7" spans="1:2">
      <c r="A7" s="4" t="s">
        <v>7</v>
      </c>
      <c r="B7" s="5">
        <v>100000</v>
      </c>
    </row>
    <row r="8" spans="1:2">
      <c r="A8" s="6" t="s">
        <v>8</v>
      </c>
      <c r="B8" s="7">
        <v>7300000</v>
      </c>
    </row>
    <row r="9" spans="1:2">
      <c r="A9" s="1" t="s">
        <v>9</v>
      </c>
      <c r="B9" s="3">
        <v>6400000</v>
      </c>
    </row>
    <row r="10" spans="1:2">
      <c r="A10" s="4" t="s">
        <v>10</v>
      </c>
      <c r="B10" s="5">
        <v>1100000</v>
      </c>
    </row>
    <row r="11" spans="1:2">
      <c r="A11" s="4" t="s">
        <v>11</v>
      </c>
      <c r="B11" s="5">
        <v>400000</v>
      </c>
    </row>
    <row r="12" spans="1:2">
      <c r="A12" s="4" t="s">
        <v>12</v>
      </c>
      <c r="B12" s="5">
        <v>100000</v>
      </c>
    </row>
    <row r="13" spans="1:2">
      <c r="A13" s="4" t="s">
        <v>14</v>
      </c>
      <c r="B13" s="5">
        <v>4800000</v>
      </c>
    </row>
    <row r="14" spans="1:2">
      <c r="A14" s="4" t="s">
        <v>15</v>
      </c>
      <c r="B14" s="5">
        <v>0</v>
      </c>
    </row>
    <row r="15" spans="1:2">
      <c r="A15" s="6" t="s">
        <v>16</v>
      </c>
      <c r="B15" s="7">
        <v>100000</v>
      </c>
    </row>
    <row r="16" spans="1:2">
      <c r="A16" s="4" t="s">
        <v>17</v>
      </c>
      <c r="B16" s="5">
        <v>6500000</v>
      </c>
    </row>
    <row r="17" spans="1:2">
      <c r="A17" s="4" t="s">
        <v>18</v>
      </c>
      <c r="B17" s="5">
        <v>700000</v>
      </c>
    </row>
    <row r="18" spans="1:2">
      <c r="A18" s="4" t="s">
        <v>19</v>
      </c>
      <c r="B18" s="5">
        <v>700000</v>
      </c>
    </row>
    <row r="19" spans="1:2">
      <c r="A19" s="6" t="s">
        <v>21</v>
      </c>
      <c r="B19" s="7">
        <v>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0"/>
  <sheetViews>
    <sheetView workbookViewId="0"/>
  </sheetViews>
  <sheetFormatPr defaultColWidth="8.85546875" defaultRowHeight="14.45"/>
  <cols>
    <col min="1" max="1" width="27.7109375" customWidth="1"/>
    <col min="2" max="2" width="12.7109375" customWidth="1"/>
  </cols>
  <sheetData>
    <row r="1" spans="1:2">
      <c r="A1" s="1" t="s">
        <v>29</v>
      </c>
      <c r="B1" s="2" t="s">
        <v>1</v>
      </c>
    </row>
    <row r="2" spans="1:2">
      <c r="A2" s="1" t="s">
        <v>2</v>
      </c>
      <c r="B2" s="3">
        <v>2551000</v>
      </c>
    </row>
    <row r="3" spans="1:2">
      <c r="A3" s="4" t="s">
        <v>3</v>
      </c>
      <c r="B3" s="5">
        <v>4.3</v>
      </c>
    </row>
    <row r="4" spans="1:2">
      <c r="A4" s="4" t="s">
        <v>4</v>
      </c>
      <c r="B4" s="5">
        <v>1600000</v>
      </c>
    </row>
    <row r="5" spans="1:2">
      <c r="A5" s="4" t="s">
        <v>5</v>
      </c>
      <c r="B5" s="5">
        <v>11000000</v>
      </c>
    </row>
    <row r="6" spans="1:2">
      <c r="A6" s="4" t="s">
        <v>6</v>
      </c>
      <c r="B6" s="5">
        <v>10700000</v>
      </c>
    </row>
    <row r="7" spans="1:2">
      <c r="A7" s="4" t="s">
        <v>7</v>
      </c>
      <c r="B7" s="5">
        <v>0</v>
      </c>
    </row>
    <row r="8" spans="1:2">
      <c r="A8" s="6" t="s">
        <v>8</v>
      </c>
      <c r="B8" s="7">
        <v>12300000</v>
      </c>
    </row>
    <row r="9" spans="1:2">
      <c r="A9" s="1" t="s">
        <v>9</v>
      </c>
      <c r="B9" s="3">
        <v>11000000</v>
      </c>
    </row>
    <row r="10" spans="1:2">
      <c r="A10" s="4" t="s">
        <v>10</v>
      </c>
      <c r="B10" s="5">
        <v>100000</v>
      </c>
    </row>
    <row r="11" spans="1:2">
      <c r="A11" s="4" t="s">
        <v>11</v>
      </c>
      <c r="B11" s="5">
        <v>500000</v>
      </c>
    </row>
    <row r="12" spans="1:2">
      <c r="A12" s="4" t="s">
        <v>12</v>
      </c>
      <c r="B12" s="5">
        <v>400000</v>
      </c>
    </row>
    <row r="13" spans="1:2">
      <c r="A13" s="4" t="s">
        <v>13</v>
      </c>
      <c r="B13" s="5">
        <v>0</v>
      </c>
    </row>
    <row r="14" spans="1:2">
      <c r="A14" s="4" t="s">
        <v>14</v>
      </c>
      <c r="B14" s="5">
        <v>10000000</v>
      </c>
    </row>
    <row r="15" spans="1:2">
      <c r="A15" s="4" t="s">
        <v>15</v>
      </c>
      <c r="B15" s="5">
        <v>100000</v>
      </c>
    </row>
    <row r="16" spans="1:2">
      <c r="A16" s="6" t="s">
        <v>16</v>
      </c>
      <c r="B16" s="7">
        <v>0</v>
      </c>
    </row>
    <row r="17" spans="1:2">
      <c r="A17" s="4" t="s">
        <v>17</v>
      </c>
      <c r="B17" s="5">
        <v>11100000</v>
      </c>
    </row>
    <row r="18" spans="1:2">
      <c r="A18" s="4" t="s">
        <v>18</v>
      </c>
      <c r="B18" s="5">
        <v>1300000</v>
      </c>
    </row>
    <row r="19" spans="1:2">
      <c r="A19" s="4" t="s">
        <v>19</v>
      </c>
      <c r="B19" s="5">
        <v>1300000</v>
      </c>
    </row>
    <row r="20" spans="1:2">
      <c r="A20" s="6" t="s">
        <v>21</v>
      </c>
      <c r="B20" s="7">
        <v>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9"/>
  <sheetViews>
    <sheetView workbookViewId="0"/>
  </sheetViews>
  <sheetFormatPr defaultColWidth="8.85546875" defaultRowHeight="14.45"/>
  <cols>
    <col min="1" max="1" width="27.7109375" customWidth="1"/>
    <col min="2" max="2" width="12.7109375" customWidth="1"/>
  </cols>
  <sheetData>
    <row r="1" spans="1:2">
      <c r="A1" s="1" t="s">
        <v>30</v>
      </c>
      <c r="B1" s="2" t="s">
        <v>1</v>
      </c>
    </row>
    <row r="2" spans="1:2">
      <c r="A2" s="1" t="s">
        <v>2</v>
      </c>
      <c r="B2" s="3">
        <v>837000</v>
      </c>
    </row>
    <row r="3" spans="1:2">
      <c r="A3" s="4" t="s">
        <v>3</v>
      </c>
      <c r="B3" s="5">
        <v>2.8</v>
      </c>
    </row>
    <row r="4" spans="1:2">
      <c r="A4" s="4" t="s">
        <v>4</v>
      </c>
      <c r="B4" s="5">
        <v>300000</v>
      </c>
    </row>
    <row r="5" spans="1:2">
      <c r="A5" s="4" t="s">
        <v>5</v>
      </c>
      <c r="B5" s="5">
        <v>2300000</v>
      </c>
    </row>
    <row r="6" spans="1:2">
      <c r="A6" s="4" t="s">
        <v>6</v>
      </c>
      <c r="B6" s="5">
        <v>2200000</v>
      </c>
    </row>
    <row r="7" spans="1:2">
      <c r="A7" s="4" t="s">
        <v>7</v>
      </c>
      <c r="B7" s="5">
        <v>100000</v>
      </c>
    </row>
    <row r="8" spans="1:2">
      <c r="A8" s="6" t="s">
        <v>8</v>
      </c>
      <c r="B8" s="7">
        <v>2700000</v>
      </c>
    </row>
    <row r="9" spans="1:2">
      <c r="A9" s="1" t="s">
        <v>9</v>
      </c>
      <c r="B9" s="3">
        <v>2400000</v>
      </c>
    </row>
    <row r="10" spans="1:2">
      <c r="A10" s="4" t="s">
        <v>10</v>
      </c>
      <c r="B10" s="5">
        <v>0</v>
      </c>
    </row>
    <row r="11" spans="1:2">
      <c r="A11" s="4" t="s">
        <v>11</v>
      </c>
      <c r="B11" s="5">
        <v>300000</v>
      </c>
    </row>
    <row r="12" spans="1:2">
      <c r="A12" s="4" t="s">
        <v>12</v>
      </c>
      <c r="B12" s="5">
        <v>200000</v>
      </c>
    </row>
    <row r="13" spans="1:2">
      <c r="A13" s="4" t="s">
        <v>14</v>
      </c>
      <c r="B13" s="5">
        <v>2000000</v>
      </c>
    </row>
    <row r="14" spans="1:2">
      <c r="A14" s="4" t="s">
        <v>15</v>
      </c>
      <c r="B14" s="5">
        <v>0</v>
      </c>
    </row>
    <row r="15" spans="1:2">
      <c r="A15" s="6" t="s">
        <v>16</v>
      </c>
      <c r="B15" s="7">
        <v>0</v>
      </c>
    </row>
    <row r="16" spans="1:2">
      <c r="A16" s="4" t="s">
        <v>17</v>
      </c>
      <c r="B16" s="5">
        <v>2500000</v>
      </c>
    </row>
    <row r="17" spans="1:2">
      <c r="A17" s="4" t="s">
        <v>18</v>
      </c>
      <c r="B17" s="5">
        <v>200000</v>
      </c>
    </row>
    <row r="18" spans="1:2">
      <c r="A18" s="4" t="s">
        <v>19</v>
      </c>
      <c r="B18" s="5">
        <v>200000</v>
      </c>
    </row>
    <row r="19" spans="1:2">
      <c r="A19" s="6" t="s">
        <v>21</v>
      </c>
      <c r="B19" s="7">
        <v>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04"/>
  <sheetViews>
    <sheetView tabSelected="1" zoomScale="71" workbookViewId="0">
      <selection activeCell="E22" sqref="E22"/>
    </sheetView>
  </sheetViews>
  <sheetFormatPr defaultColWidth="8.85546875" defaultRowHeight="14.45"/>
  <cols>
    <col min="1" max="1" width="27.7109375" customWidth="1"/>
    <col min="2" max="2" width="21.7109375" bestFit="1" customWidth="1"/>
    <col min="3" max="3" width="31.5703125" bestFit="1" customWidth="1"/>
    <col min="4" max="4" width="23.5703125" bestFit="1" customWidth="1"/>
    <col min="5" max="5" width="17.85546875" bestFit="1" customWidth="1"/>
    <col min="6" max="6" width="22.5703125" bestFit="1" customWidth="1"/>
    <col min="7" max="8" width="22.5703125" customWidth="1"/>
    <col min="9" max="9" width="37.42578125" customWidth="1"/>
    <col min="10" max="10" width="24.7109375" bestFit="1" customWidth="1"/>
  </cols>
  <sheetData>
    <row r="1" spans="1:9" ht="15" thickBot="1">
      <c r="A1" s="9" t="s">
        <v>31</v>
      </c>
      <c r="B1" s="10"/>
      <c r="C1" s="10" t="s">
        <v>32</v>
      </c>
      <c r="D1" s="10" t="s">
        <v>33</v>
      </c>
      <c r="E1" s="25" t="s">
        <v>34</v>
      </c>
      <c r="F1" s="10" t="s">
        <v>35</v>
      </c>
      <c r="G1" s="10" t="s">
        <v>36</v>
      </c>
      <c r="H1" s="10" t="s">
        <v>37</v>
      </c>
      <c r="I1" s="25" t="s">
        <v>38</v>
      </c>
    </row>
    <row r="2" spans="1:9">
      <c r="A2" s="4" t="s">
        <v>2</v>
      </c>
      <c r="B2" s="5">
        <v>11866000</v>
      </c>
      <c r="C2" s="5"/>
      <c r="D2" s="5"/>
      <c r="E2" s="5"/>
      <c r="F2" s="5"/>
      <c r="G2" s="5"/>
      <c r="H2" s="5"/>
      <c r="I2" s="11"/>
    </row>
    <row r="3" spans="1:9">
      <c r="A3" s="4" t="s">
        <v>39</v>
      </c>
      <c r="B3" s="5">
        <v>6193000</v>
      </c>
      <c r="C3" s="5"/>
      <c r="D3" s="5"/>
      <c r="E3" s="5"/>
      <c r="F3" s="5"/>
      <c r="G3" s="5"/>
      <c r="H3" s="5"/>
      <c r="I3" s="13"/>
    </row>
    <row r="4" spans="1:9">
      <c r="A4" s="4" t="s">
        <v>40</v>
      </c>
      <c r="B4" s="5">
        <v>985000</v>
      </c>
      <c r="C4" s="5"/>
      <c r="D4" s="5"/>
      <c r="E4" s="5"/>
      <c r="F4" s="5"/>
      <c r="G4" s="5"/>
      <c r="H4" s="5"/>
      <c r="I4" s="13"/>
    </row>
    <row r="5" spans="1:9">
      <c r="A5" s="4" t="s">
        <v>41</v>
      </c>
      <c r="B5" s="5">
        <v>4688000</v>
      </c>
      <c r="C5" s="5"/>
      <c r="D5" s="5"/>
      <c r="E5" s="5"/>
      <c r="F5" s="5"/>
      <c r="G5" s="5"/>
      <c r="H5" s="5"/>
      <c r="I5" s="13"/>
    </row>
    <row r="6" spans="1:9">
      <c r="A6" s="4" t="s">
        <v>3</v>
      </c>
      <c r="B6" s="26">
        <v>2.7</v>
      </c>
      <c r="C6" s="5"/>
      <c r="D6" s="5"/>
      <c r="E6" s="5"/>
      <c r="F6" s="5"/>
      <c r="G6" s="5"/>
      <c r="H6" s="5"/>
      <c r="I6" s="13"/>
    </row>
    <row r="7" spans="1:9">
      <c r="A7" s="4" t="s">
        <v>39</v>
      </c>
      <c r="B7" s="26">
        <v>3.2</v>
      </c>
      <c r="C7" s="5"/>
      <c r="D7" s="5"/>
      <c r="E7" s="5"/>
      <c r="F7" s="5"/>
      <c r="G7" s="5"/>
      <c r="H7" s="5"/>
      <c r="I7" s="13"/>
    </row>
    <row r="8" spans="1:9">
      <c r="A8" s="4" t="s">
        <v>40</v>
      </c>
      <c r="B8" s="26">
        <v>2.8</v>
      </c>
      <c r="C8" s="5"/>
      <c r="D8" s="5"/>
      <c r="E8" s="5"/>
      <c r="F8" s="5"/>
      <c r="G8" s="5"/>
      <c r="H8" s="5"/>
      <c r="I8" s="13"/>
    </row>
    <row r="9" spans="1:9">
      <c r="A9" s="4" t="s">
        <v>41</v>
      </c>
      <c r="B9" s="26">
        <v>2.1</v>
      </c>
      <c r="C9" s="5"/>
      <c r="D9" s="5"/>
      <c r="E9" s="5"/>
      <c r="F9" s="5"/>
      <c r="G9" s="5"/>
      <c r="H9" s="5"/>
      <c r="I9" s="13"/>
    </row>
    <row r="10" spans="1:9">
      <c r="A10" s="4" t="s">
        <v>42</v>
      </c>
      <c r="B10" s="5">
        <v>32300000</v>
      </c>
      <c r="C10" s="5"/>
      <c r="D10" s="5"/>
      <c r="E10" s="5"/>
      <c r="F10" s="5"/>
      <c r="G10" s="5"/>
      <c r="H10" s="5"/>
      <c r="I10" s="13"/>
    </row>
    <row r="11" spans="1:9">
      <c r="A11" s="4" t="s">
        <v>39</v>
      </c>
      <c r="B11" s="5">
        <v>19700000</v>
      </c>
      <c r="C11" s="5"/>
      <c r="D11" s="5"/>
      <c r="E11" s="5"/>
      <c r="F11" s="5"/>
      <c r="G11" s="5"/>
      <c r="H11" s="5"/>
      <c r="I11" s="13"/>
    </row>
    <row r="12" spans="1:9">
      <c r="A12" s="4" t="s">
        <v>40</v>
      </c>
      <c r="B12" s="5">
        <v>2800000</v>
      </c>
      <c r="C12" s="5"/>
      <c r="D12" s="5"/>
      <c r="E12" s="5"/>
      <c r="F12" s="5"/>
      <c r="G12" s="5"/>
      <c r="H12" s="5"/>
      <c r="I12" s="13"/>
    </row>
    <row r="13" spans="1:9" ht="15" thickBot="1">
      <c r="A13" s="4" t="s">
        <v>41</v>
      </c>
      <c r="B13" s="5">
        <v>9800000</v>
      </c>
      <c r="C13" s="5"/>
      <c r="D13" s="5"/>
      <c r="E13" s="5"/>
      <c r="F13" s="5"/>
      <c r="G13" s="5"/>
      <c r="H13" s="5"/>
      <c r="I13" s="12"/>
    </row>
    <row r="14" spans="1:9">
      <c r="A14" s="1" t="s">
        <v>9</v>
      </c>
      <c r="B14" s="3">
        <v>50100000</v>
      </c>
      <c r="C14" s="3"/>
      <c r="D14" s="3"/>
      <c r="E14" s="3"/>
      <c r="F14" s="3"/>
      <c r="G14" s="3"/>
      <c r="H14" s="3"/>
      <c r="I14" s="22"/>
    </row>
    <row r="15" spans="1:9">
      <c r="A15" s="4" t="s">
        <v>39</v>
      </c>
      <c r="B15" s="5">
        <v>24300000</v>
      </c>
      <c r="C15" s="5"/>
      <c r="D15" s="5"/>
      <c r="E15" s="5"/>
      <c r="F15" s="5"/>
      <c r="G15" s="5"/>
      <c r="H15" s="5"/>
      <c r="I15" s="20">
        <f>B15-B16-('[1]2023-24'!$F$24*1000000)</f>
        <v>401832.10000000003</v>
      </c>
    </row>
    <row r="16" spans="1:9">
      <c r="A16" s="4" t="s">
        <v>43</v>
      </c>
      <c r="B16" s="5">
        <v>23700000</v>
      </c>
      <c r="C16" s="26">
        <f>'1.12 EU Oilmeals'!B7-'1.12 EU Oilmeals'!B11</f>
        <v>12600000</v>
      </c>
      <c r="D16" s="26">
        <f>'1.12 EU Oilmeals'!B7</f>
        <v>13400000</v>
      </c>
      <c r="E16" s="26">
        <f>'1.13 EU Vegetable Oils'!B8-'1.13 EU Vegetable Oils'!B13</f>
        <v>8900000</v>
      </c>
      <c r="F16" s="26">
        <f>'1.13 EU Vegetable Oils'!B8</f>
        <v>9400000</v>
      </c>
      <c r="G16" s="5">
        <f>F16*C62</f>
        <v>2460732.9842931936</v>
      </c>
      <c r="H16" s="26">
        <f>F16*C61</f>
        <v>6890052.3560209423</v>
      </c>
      <c r="I16" s="20">
        <f>B16-C16-E16</f>
        <v>2200000</v>
      </c>
    </row>
    <row r="17" spans="1:9">
      <c r="A17" s="4" t="s">
        <v>40</v>
      </c>
      <c r="B17" s="5">
        <v>15700000</v>
      </c>
      <c r="C17" s="39"/>
      <c r="D17" s="39">
        <f>D16/(D16+F16+I16)</f>
        <v>0.53600000000000003</v>
      </c>
      <c r="E17" s="5"/>
      <c r="F17" s="5"/>
      <c r="G17" s="5"/>
      <c r="H17" s="5"/>
      <c r="I17" s="20">
        <f>B17-B18-('[1]2023-24'!$F$23*1000000)</f>
        <v>900000</v>
      </c>
    </row>
    <row r="18" spans="1:9">
      <c r="A18" s="4" t="s">
        <v>43</v>
      </c>
      <c r="B18" s="5">
        <v>13600000</v>
      </c>
      <c r="C18" s="26">
        <f>'1.12 EU Oilmeals'!B8-'1.12 EU Oilmeals'!B12</f>
        <v>10200000</v>
      </c>
      <c r="D18" s="26">
        <f>'1.12 EU Oilmeals'!B8</f>
        <v>25900000</v>
      </c>
      <c r="E18" s="26">
        <f>'1.13 EU Vegetable Oils'!B9-'1.13 EU Vegetable Oils'!B19</f>
        <v>2000000</v>
      </c>
      <c r="F18" s="26">
        <f>'1.13 EU Vegetable Oils'!B9</f>
        <v>2700000</v>
      </c>
      <c r="G18" s="5">
        <f>F18*C46</f>
        <v>1412133.8912133891</v>
      </c>
      <c r="H18" s="26">
        <f>F18*C45</f>
        <v>1225732.2175732218</v>
      </c>
      <c r="I18" s="20">
        <f>B18-C18-E18</f>
        <v>1400000</v>
      </c>
    </row>
    <row r="19" spans="1:9">
      <c r="A19" s="4" t="s">
        <v>41</v>
      </c>
      <c r="B19" s="5">
        <v>10100000</v>
      </c>
      <c r="C19" s="39"/>
      <c r="D19" s="39">
        <f>D18/(D18+F18+I18)</f>
        <v>0.86333333333333329</v>
      </c>
      <c r="E19" s="5"/>
      <c r="F19" s="5"/>
      <c r="G19" s="5"/>
      <c r="H19" s="5"/>
      <c r="I19" s="20">
        <f>B19-B20-('[1]2023-24'!$F$25*1000000)</f>
        <v>996309.2</v>
      </c>
    </row>
    <row r="20" spans="1:9" ht="15" thickBot="1">
      <c r="A20" s="6" t="s">
        <v>43</v>
      </c>
      <c r="B20" s="7">
        <v>8900000</v>
      </c>
      <c r="C20" s="27">
        <f>'1.12 EU Oilmeals'!B9-'1.12 EU Oilmeals'!B13</f>
        <v>4000000</v>
      </c>
      <c r="D20" s="27">
        <f>'1.12 EU Oilmeals'!B9</f>
        <v>7200000</v>
      </c>
      <c r="E20" s="7">
        <f>'1.13 EU Vegetable Oils'!B10-'1.13 EU Vegetable Oils'!B15</f>
        <v>2600000</v>
      </c>
      <c r="F20" s="7">
        <f>'1.13 EU Vegetable Oils'!B10</f>
        <v>5600000</v>
      </c>
      <c r="G20" s="7">
        <f>F20*C78</f>
        <v>5083587.9920905987</v>
      </c>
      <c r="H20" s="7">
        <f>F20*C77</f>
        <v>503325.54377134645</v>
      </c>
      <c r="I20" s="21">
        <f>B20-C20-E20</f>
        <v>2300000</v>
      </c>
    </row>
    <row r="21" spans="1:9">
      <c r="A21" s="1" t="s">
        <v>7</v>
      </c>
      <c r="B21" s="3">
        <v>19500000</v>
      </c>
      <c r="C21" s="22"/>
      <c r="D21" s="39">
        <f>D20/(D20+F20+I20)</f>
        <v>0.47682119205298013</v>
      </c>
      <c r="E21" s="3"/>
      <c r="F21" s="3"/>
      <c r="G21" s="3"/>
      <c r="H21" s="3"/>
      <c r="I21" s="11"/>
    </row>
    <row r="22" spans="1:9">
      <c r="A22" s="4" t="s">
        <v>39</v>
      </c>
      <c r="B22" s="5">
        <v>5500000</v>
      </c>
      <c r="C22" s="20"/>
      <c r="D22" s="5"/>
      <c r="E22" s="5"/>
      <c r="F22" s="5"/>
      <c r="G22" s="5"/>
      <c r="H22" s="5"/>
      <c r="I22" s="13"/>
    </row>
    <row r="23" spans="1:9">
      <c r="A23" s="4" t="s">
        <v>40</v>
      </c>
      <c r="B23" s="5">
        <v>13200000</v>
      </c>
      <c r="C23" s="20"/>
      <c r="D23" s="5"/>
      <c r="E23" s="5"/>
      <c r="F23" s="5"/>
      <c r="G23" s="5"/>
      <c r="H23" s="5"/>
      <c r="I23" s="13"/>
    </row>
    <row r="24" spans="1:9" ht="15" thickBot="1">
      <c r="A24" s="6" t="s">
        <v>41</v>
      </c>
      <c r="B24" s="7">
        <v>800000</v>
      </c>
      <c r="C24" s="21"/>
      <c r="D24" s="7"/>
      <c r="E24" s="7"/>
      <c r="F24" s="7"/>
      <c r="G24" s="7"/>
      <c r="H24" s="7"/>
      <c r="I24" s="12"/>
    </row>
    <row r="25" spans="1:9">
      <c r="A25" s="1" t="s">
        <v>16</v>
      </c>
      <c r="B25" s="3">
        <v>1200000</v>
      </c>
      <c r="C25" s="16"/>
      <c r="D25" s="22"/>
      <c r="E25" s="16"/>
      <c r="F25" s="22"/>
      <c r="G25" s="16"/>
      <c r="H25" s="22"/>
      <c r="I25" s="11"/>
    </row>
    <row r="26" spans="1:9">
      <c r="A26" s="4" t="s">
        <v>39</v>
      </c>
      <c r="B26" s="5">
        <v>500000</v>
      </c>
      <c r="C26" s="16"/>
      <c r="D26" s="20"/>
      <c r="E26" s="16"/>
      <c r="F26" s="20"/>
      <c r="G26" s="16"/>
      <c r="H26" s="20"/>
      <c r="I26" s="13"/>
    </row>
    <row r="27" spans="1:9">
      <c r="A27" s="4" t="s">
        <v>40</v>
      </c>
      <c r="B27" s="5">
        <v>200000</v>
      </c>
      <c r="C27" s="16"/>
      <c r="D27" s="20"/>
      <c r="E27" s="16"/>
      <c r="F27" s="20"/>
      <c r="G27" s="16"/>
      <c r="H27" s="20"/>
      <c r="I27" s="13"/>
    </row>
    <row r="28" spans="1:9" ht="15" thickBot="1">
      <c r="A28" s="6" t="s">
        <v>41</v>
      </c>
      <c r="B28" s="7">
        <v>500000</v>
      </c>
      <c r="C28" s="16"/>
      <c r="D28" s="21"/>
      <c r="E28" s="16"/>
      <c r="F28" s="21"/>
      <c r="G28" s="24"/>
      <c r="H28" s="21"/>
      <c r="I28" s="12"/>
    </row>
    <row r="29" spans="1:9">
      <c r="A29" s="1" t="s">
        <v>18</v>
      </c>
      <c r="B29" s="3">
        <v>3000000</v>
      </c>
      <c r="C29" s="3"/>
      <c r="D29" s="3"/>
      <c r="E29" s="23"/>
      <c r="F29" s="20"/>
      <c r="G29" s="5"/>
      <c r="H29" s="5"/>
      <c r="I29" s="8"/>
    </row>
    <row r="30" spans="1:9">
      <c r="A30" s="4" t="s">
        <v>39</v>
      </c>
      <c r="B30" s="5">
        <v>800000</v>
      </c>
      <c r="C30" s="5"/>
      <c r="D30" s="5"/>
      <c r="E30" s="16"/>
      <c r="F30" s="20"/>
      <c r="G30" s="5"/>
      <c r="H30" s="5"/>
      <c r="I30" s="8"/>
    </row>
    <row r="31" spans="1:9">
      <c r="A31" s="4" t="s">
        <v>40</v>
      </c>
      <c r="B31" s="5">
        <v>1300000</v>
      </c>
      <c r="C31" s="5"/>
      <c r="D31" s="5"/>
      <c r="E31" s="16"/>
      <c r="F31" s="20"/>
      <c r="G31" s="5"/>
      <c r="H31" s="5"/>
      <c r="I31" s="8"/>
    </row>
    <row r="32" spans="1:9">
      <c r="A32" s="4" t="s">
        <v>41</v>
      </c>
      <c r="B32" s="5">
        <v>900000</v>
      </c>
      <c r="C32" s="5"/>
      <c r="D32" s="5"/>
      <c r="E32" s="16"/>
      <c r="F32" s="20"/>
      <c r="G32" s="5"/>
      <c r="H32" s="5"/>
      <c r="I32" s="8"/>
    </row>
    <row r="33" spans="1:9" ht="15" thickBot="1">
      <c r="A33" s="6" t="s">
        <v>21</v>
      </c>
      <c r="B33" s="7">
        <v>65</v>
      </c>
      <c r="C33" s="7"/>
      <c r="D33" s="7"/>
      <c r="E33" s="24"/>
      <c r="F33" s="21"/>
      <c r="G33" s="7"/>
      <c r="H33" s="7"/>
      <c r="I33" s="28"/>
    </row>
    <row r="35" spans="1:9" ht="15" thickBot="1">
      <c r="A35" s="42" t="s">
        <v>44</v>
      </c>
    </row>
    <row r="36" spans="1:9" ht="15" thickBot="1">
      <c r="A36" s="25" t="s">
        <v>45</v>
      </c>
    </row>
    <row r="37" spans="1:9" ht="15" thickBot="1">
      <c r="A37" s="31" t="s">
        <v>46</v>
      </c>
      <c r="B37" s="32" t="s">
        <v>47</v>
      </c>
      <c r="C37" s="10" t="s">
        <v>48</v>
      </c>
    </row>
    <row r="38" spans="1:9">
      <c r="A38" s="4" t="s">
        <v>49</v>
      </c>
      <c r="B38" s="22">
        <v>15500000</v>
      </c>
      <c r="C38" s="8"/>
    </row>
    <row r="39" spans="1:9">
      <c r="A39" s="4" t="s">
        <v>50</v>
      </c>
      <c r="B39" s="13">
        <v>0.19</v>
      </c>
      <c r="C39" s="8"/>
    </row>
    <row r="40" spans="1:9">
      <c r="A40" s="4" t="s">
        <v>51</v>
      </c>
      <c r="B40" s="20">
        <v>369000</v>
      </c>
      <c r="C40" s="8"/>
    </row>
    <row r="41" spans="1:9">
      <c r="A41" s="4" t="s">
        <v>42</v>
      </c>
      <c r="B41" s="20">
        <v>2945000</v>
      </c>
      <c r="C41" s="8"/>
    </row>
    <row r="42" spans="1:9">
      <c r="A42" s="4" t="s">
        <v>52</v>
      </c>
      <c r="B42" s="20">
        <v>430000</v>
      </c>
      <c r="C42" s="8"/>
    </row>
    <row r="43" spans="1:9">
      <c r="A43" s="4" t="s">
        <v>53</v>
      </c>
      <c r="B43" s="20">
        <v>3744000</v>
      </c>
      <c r="C43" s="8"/>
    </row>
    <row r="44" spans="1:9">
      <c r="A44" s="4" t="s">
        <v>54</v>
      </c>
      <c r="B44" s="20">
        <v>0</v>
      </c>
      <c r="C44" s="8"/>
    </row>
    <row r="45" spans="1:9">
      <c r="A45" s="4" t="s">
        <v>55</v>
      </c>
      <c r="B45" s="20">
        <v>1085000</v>
      </c>
      <c r="C45" s="30">
        <f>IFERROR(B45/B48,"")</f>
        <v>0.45397489539748953</v>
      </c>
    </row>
    <row r="46" spans="1:9">
      <c r="A46" s="4" t="s">
        <v>56</v>
      </c>
      <c r="B46" s="20">
        <v>1250000</v>
      </c>
      <c r="C46" s="30">
        <f>IFERROR(B46/B48,"")</f>
        <v>0.52301255230125521</v>
      </c>
    </row>
    <row r="47" spans="1:9">
      <c r="A47" s="4" t="s">
        <v>57</v>
      </c>
      <c r="B47" s="20">
        <v>55000</v>
      </c>
      <c r="C47" s="30">
        <f>IFERROR(B47/B48,"")</f>
        <v>2.3012552301255231E-2</v>
      </c>
    </row>
    <row r="48" spans="1:9">
      <c r="A48" s="4" t="s">
        <v>58</v>
      </c>
      <c r="B48" s="20">
        <v>2390000</v>
      </c>
      <c r="C48" s="8"/>
    </row>
    <row r="49" spans="1:3">
      <c r="A49" s="4" t="s">
        <v>59</v>
      </c>
      <c r="B49" s="20">
        <v>354000</v>
      </c>
      <c r="C49" s="8"/>
    </row>
    <row r="50" spans="1:3" ht="15" thickBot="1">
      <c r="A50" s="6" t="s">
        <v>60</v>
      </c>
      <c r="B50" s="21">
        <v>3744000</v>
      </c>
      <c r="C50" s="28"/>
    </row>
    <row r="51" spans="1:3" ht="15" thickBot="1"/>
    <row r="52" spans="1:3" ht="15" thickBot="1">
      <c r="A52" s="25" t="s">
        <v>39</v>
      </c>
    </row>
    <row r="53" spans="1:3" ht="15" thickBot="1">
      <c r="A53" s="33" t="s">
        <v>46</v>
      </c>
      <c r="B53" s="34" t="s">
        <v>47</v>
      </c>
      <c r="C53" s="10" t="s">
        <v>48</v>
      </c>
    </row>
    <row r="54" spans="1:3">
      <c r="A54" s="4" t="s">
        <v>49</v>
      </c>
      <c r="B54" s="20">
        <v>23500000</v>
      </c>
      <c r="C54" s="8"/>
    </row>
    <row r="55" spans="1:3">
      <c r="A55" s="4" t="s">
        <v>50</v>
      </c>
      <c r="B55" s="13">
        <v>0.42</v>
      </c>
      <c r="C55" s="8"/>
    </row>
    <row r="56" spans="1:3">
      <c r="A56" s="4" t="s">
        <v>51</v>
      </c>
      <c r="B56" s="20">
        <v>501000</v>
      </c>
      <c r="C56" s="8"/>
    </row>
    <row r="57" spans="1:3">
      <c r="A57" s="4" t="s">
        <v>42</v>
      </c>
      <c r="B57" s="20">
        <v>9870000</v>
      </c>
      <c r="C57" s="8"/>
    </row>
    <row r="58" spans="1:3">
      <c r="A58" s="4" t="s">
        <v>52</v>
      </c>
      <c r="B58" s="20">
        <v>400000</v>
      </c>
      <c r="C58" s="8"/>
    </row>
    <row r="59" spans="1:3">
      <c r="A59" s="4" t="s">
        <v>53</v>
      </c>
      <c r="B59" s="20">
        <v>10771000</v>
      </c>
      <c r="C59" s="8"/>
    </row>
    <row r="60" spans="1:3">
      <c r="A60" s="4" t="s">
        <v>54</v>
      </c>
      <c r="B60" s="20">
        <v>700000</v>
      </c>
      <c r="C60" s="8"/>
    </row>
    <row r="61" spans="1:3">
      <c r="A61" s="4" t="s">
        <v>55</v>
      </c>
      <c r="B61" s="20">
        <v>7000000</v>
      </c>
      <c r="C61" s="30">
        <f>IFERROR(B61/B64,"")</f>
        <v>0.73298429319371727</v>
      </c>
    </row>
    <row r="62" spans="1:3">
      <c r="A62" s="4" t="s">
        <v>56</v>
      </c>
      <c r="B62" s="20">
        <v>2500000</v>
      </c>
      <c r="C62" s="30">
        <f>IFERROR(B62/B64,"")</f>
        <v>0.26178010471204188</v>
      </c>
    </row>
    <row r="63" spans="1:3">
      <c r="A63" s="4" t="s">
        <v>57</v>
      </c>
      <c r="B63" s="20">
        <v>50000</v>
      </c>
      <c r="C63" s="30">
        <f>IFERROR(B63/B64,"")</f>
        <v>5.235602094240838E-3</v>
      </c>
    </row>
    <row r="64" spans="1:3">
      <c r="A64" s="4" t="s">
        <v>58</v>
      </c>
      <c r="B64" s="20">
        <v>9550000</v>
      </c>
      <c r="C64" s="8"/>
    </row>
    <row r="65" spans="1:3">
      <c r="A65" s="4" t="s">
        <v>59</v>
      </c>
      <c r="B65" s="20">
        <v>521000</v>
      </c>
      <c r="C65" s="8"/>
    </row>
    <row r="66" spans="1:3" ht="15" thickBot="1">
      <c r="A66" s="6" t="s">
        <v>60</v>
      </c>
      <c r="B66" s="21">
        <v>10771000</v>
      </c>
      <c r="C66" s="28"/>
    </row>
    <row r="67" spans="1:3" ht="15" thickBot="1"/>
    <row r="68" spans="1:3" ht="15" thickBot="1">
      <c r="A68" s="25" t="s">
        <v>41</v>
      </c>
    </row>
    <row r="69" spans="1:3" ht="15" thickBot="1">
      <c r="A69" s="33" t="s">
        <v>46</v>
      </c>
      <c r="B69" s="34" t="s">
        <v>47</v>
      </c>
      <c r="C69" s="35" t="s">
        <v>48</v>
      </c>
    </row>
    <row r="70" spans="1:3">
      <c r="A70" s="1" t="s">
        <v>49</v>
      </c>
      <c r="B70" s="22">
        <v>10000000</v>
      </c>
      <c r="C70" s="2"/>
    </row>
    <row r="71" spans="1:3">
      <c r="A71" s="4" t="s">
        <v>50</v>
      </c>
      <c r="B71" s="13">
        <v>0.42</v>
      </c>
      <c r="C71" s="8"/>
    </row>
    <row r="72" spans="1:3">
      <c r="A72" s="4" t="s">
        <v>51</v>
      </c>
      <c r="B72" s="20">
        <v>228000</v>
      </c>
      <c r="C72" s="8"/>
    </row>
    <row r="73" spans="1:3">
      <c r="A73" s="4" t="s">
        <v>42</v>
      </c>
      <c r="B73" s="20">
        <v>4250000</v>
      </c>
      <c r="C73" s="8"/>
    </row>
    <row r="74" spans="1:3">
      <c r="A74" s="4" t="s">
        <v>52</v>
      </c>
      <c r="B74" s="20">
        <v>2200000</v>
      </c>
      <c r="C74" s="8"/>
    </row>
    <row r="75" spans="1:3">
      <c r="A75" s="4" t="s">
        <v>53</v>
      </c>
      <c r="B75" s="20">
        <v>6678000</v>
      </c>
      <c r="C75" s="8"/>
    </row>
    <row r="76" spans="1:3">
      <c r="A76" s="4" t="s">
        <v>54</v>
      </c>
      <c r="B76" s="20">
        <v>900000</v>
      </c>
      <c r="C76" s="8"/>
    </row>
    <row r="77" spans="1:3">
      <c r="A77" s="4" t="s">
        <v>55</v>
      </c>
      <c r="B77" s="20">
        <v>500000</v>
      </c>
      <c r="C77" s="30">
        <f>IFERROR(B77/B80,"")</f>
        <v>8.9879561387740434E-2</v>
      </c>
    </row>
    <row r="78" spans="1:3">
      <c r="A78" s="4" t="s">
        <v>56</v>
      </c>
      <c r="B78" s="20">
        <v>5050000</v>
      </c>
      <c r="C78" s="30">
        <f>IFERROR(B78/B80,"")</f>
        <v>0.90778357001617838</v>
      </c>
    </row>
    <row r="79" spans="1:3">
      <c r="A79" s="4" t="s">
        <v>57</v>
      </c>
      <c r="B79" s="20">
        <v>13000</v>
      </c>
      <c r="C79" s="30">
        <f>IFERROR(B79/B80,"")</f>
        <v>2.336868596081251E-3</v>
      </c>
    </row>
    <row r="80" spans="1:3">
      <c r="A80" s="4" t="s">
        <v>58</v>
      </c>
      <c r="B80" s="20">
        <v>5563000</v>
      </c>
      <c r="C80" s="8"/>
    </row>
    <row r="81" spans="1:8">
      <c r="A81" s="4" t="s">
        <v>59</v>
      </c>
      <c r="B81" s="20">
        <v>215000</v>
      </c>
      <c r="C81" s="8"/>
    </row>
    <row r="82" spans="1:8" ht="15" thickBot="1">
      <c r="A82" s="6" t="s">
        <v>60</v>
      </c>
      <c r="B82" s="21">
        <v>6678000</v>
      </c>
      <c r="C82" s="28"/>
    </row>
    <row r="84" spans="1:8" ht="15" thickBot="1"/>
    <row r="85" spans="1:8">
      <c r="A85" s="40" t="s">
        <v>61</v>
      </c>
      <c r="B85" s="37" t="s">
        <v>62</v>
      </c>
      <c r="C85" s="38" t="s">
        <v>63</v>
      </c>
      <c r="D85" s="37" t="s">
        <v>64</v>
      </c>
      <c r="E85" s="38" t="s">
        <v>65</v>
      </c>
      <c r="F85" s="37" t="s">
        <v>66</v>
      </c>
      <c r="G85" s="38" t="s">
        <v>67</v>
      </c>
      <c r="H85" s="37" t="s">
        <v>68</v>
      </c>
    </row>
    <row r="86" spans="1:8">
      <c r="A86" s="4" t="s">
        <v>69</v>
      </c>
      <c r="B86" s="13">
        <v>1085000</v>
      </c>
      <c r="C86">
        <v>1250000</v>
      </c>
      <c r="D86" s="13">
        <v>55000</v>
      </c>
      <c r="E86">
        <v>2390000</v>
      </c>
      <c r="F86" s="13">
        <f>IFERROR(B86/E86,"")</f>
        <v>0.45397489539748953</v>
      </c>
      <c r="G86">
        <f>IFERROR(C86/E86,"")</f>
        <v>0.52301255230125521</v>
      </c>
      <c r="H86" s="13">
        <f>IFERROR(D86/E86,"")</f>
        <v>2.3012552301255231E-2</v>
      </c>
    </row>
    <row r="87" spans="1:8">
      <c r="A87" s="4" t="s">
        <v>70</v>
      </c>
      <c r="B87" s="13">
        <v>7000000</v>
      </c>
      <c r="C87">
        <v>2500000</v>
      </c>
      <c r="D87" s="13">
        <v>50000</v>
      </c>
      <c r="E87">
        <v>9550000</v>
      </c>
      <c r="F87" s="13">
        <f>IFERROR(B87/E87,"")</f>
        <v>0.73298429319371727</v>
      </c>
      <c r="G87">
        <f>IFERROR(C87/E87,"")</f>
        <v>0.26178010471204188</v>
      </c>
      <c r="H87" s="13">
        <f>IFERROR(D87/E87,"")</f>
        <v>5.235602094240838E-3</v>
      </c>
    </row>
    <row r="88" spans="1:8" ht="15" thickBot="1">
      <c r="A88" s="6" t="s">
        <v>71</v>
      </c>
      <c r="B88" s="12">
        <v>500000</v>
      </c>
      <c r="C88" s="36">
        <v>5050000</v>
      </c>
      <c r="D88" s="12">
        <v>13000</v>
      </c>
      <c r="E88" s="36">
        <v>5563000</v>
      </c>
      <c r="F88" s="12">
        <f>IFERROR(B88/E88,"")</f>
        <v>8.9879561387740434E-2</v>
      </c>
      <c r="G88" s="36">
        <f>IFERROR(C88/E88,"")</f>
        <v>0.90778357001617838</v>
      </c>
      <c r="H88" s="12">
        <f>IFERROR(D88/E88,"")</f>
        <v>2.336868596081251E-3</v>
      </c>
    </row>
    <row r="89" spans="1:8" ht="15" thickBot="1"/>
    <row r="90" spans="1:8" ht="15" thickBot="1">
      <c r="A90" s="25" t="s">
        <v>72</v>
      </c>
    </row>
    <row r="91" spans="1:8" ht="15" thickBot="1">
      <c r="A91" s="41" t="s">
        <v>46</v>
      </c>
      <c r="B91" s="41" t="s">
        <v>47</v>
      </c>
      <c r="C91" s="10" t="s">
        <v>48</v>
      </c>
    </row>
    <row r="92" spans="1:8">
      <c r="A92" s="11" t="s">
        <v>49</v>
      </c>
      <c r="B92" s="16"/>
    </row>
    <row r="93" spans="1:8">
      <c r="A93" s="13" t="s">
        <v>50</v>
      </c>
      <c r="B93" s="16"/>
    </row>
    <row r="94" spans="1:8">
      <c r="A94" s="13" t="s">
        <v>51</v>
      </c>
      <c r="B94" s="16"/>
    </row>
    <row r="95" spans="1:8">
      <c r="A95" s="13" t="s">
        <v>42</v>
      </c>
      <c r="B95" s="16"/>
    </row>
    <row r="96" spans="1:8">
      <c r="A96" s="13" t="s">
        <v>52</v>
      </c>
      <c r="B96" s="16"/>
    </row>
    <row r="97" spans="1:3">
      <c r="A97" s="13" t="s">
        <v>53</v>
      </c>
      <c r="B97" s="16"/>
    </row>
    <row r="98" spans="1:3">
      <c r="A98" s="13" t="s">
        <v>54</v>
      </c>
      <c r="B98" s="16"/>
    </row>
    <row r="99" spans="1:3">
      <c r="A99" s="13" t="s">
        <v>55</v>
      </c>
      <c r="B99" s="16">
        <v>2165000</v>
      </c>
      <c r="C99" s="29">
        <f>B99/$B$102</f>
        <v>0.46014877789585545</v>
      </c>
    </row>
    <row r="100" spans="1:3">
      <c r="A100" s="13" t="s">
        <v>56</v>
      </c>
      <c r="B100" s="16">
        <v>2410000</v>
      </c>
      <c r="C100" s="29">
        <f t="shared" ref="C100:C101" si="0">B100/$B$102</f>
        <v>0.51222104144527103</v>
      </c>
    </row>
    <row r="101" spans="1:3">
      <c r="A101" s="13" t="s">
        <v>57</v>
      </c>
      <c r="B101" s="16">
        <v>130000</v>
      </c>
      <c r="C101" s="29">
        <f t="shared" si="0"/>
        <v>2.763018065887354E-2</v>
      </c>
    </row>
    <row r="102" spans="1:3">
      <c r="A102" s="13" t="s">
        <v>58</v>
      </c>
      <c r="B102" s="16">
        <v>4705000</v>
      </c>
    </row>
    <row r="103" spans="1:3">
      <c r="A103" s="13" t="s">
        <v>59</v>
      </c>
      <c r="B103" s="16"/>
    </row>
    <row r="104" spans="1:3" ht="15" thickBot="1">
      <c r="A104" s="12" t="s">
        <v>60</v>
      </c>
      <c r="B104" s="16"/>
    </row>
  </sheetData>
  <hyperlinks>
    <hyperlink ref="A35" r:id="rId1" xr:uid="{6BA7E30B-520A-4398-8B2A-0CF0B0ED961B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2"/>
  <sheetViews>
    <sheetView workbookViewId="0">
      <selection activeCell="H34" sqref="H34"/>
    </sheetView>
  </sheetViews>
  <sheetFormatPr defaultColWidth="8.85546875" defaultRowHeight="14.45"/>
  <cols>
    <col min="1" max="1" width="27.7109375" customWidth="1"/>
    <col min="2" max="2" width="12.7109375" customWidth="1"/>
    <col min="3" max="3" width="20.5703125" customWidth="1"/>
    <col min="4" max="4" width="28.7109375" customWidth="1"/>
  </cols>
  <sheetData>
    <row r="1" spans="1:4" ht="15" thickBot="1">
      <c r="A1" s="17" t="s">
        <v>73</v>
      </c>
      <c r="B1" s="18" t="s">
        <v>1</v>
      </c>
      <c r="C1" s="19" t="s">
        <v>74</v>
      </c>
      <c r="D1" s="19" t="s">
        <v>75</v>
      </c>
    </row>
    <row r="2" spans="1:4">
      <c r="A2" s="4" t="s">
        <v>42</v>
      </c>
      <c r="B2" s="16">
        <v>29100000</v>
      </c>
      <c r="C2" s="20">
        <f>SUM(C3:C5)</f>
        <v>49841484.987020142</v>
      </c>
      <c r="D2" s="11"/>
    </row>
    <row r="3" spans="1:4">
      <c r="A3" s="4" t="s">
        <v>39</v>
      </c>
      <c r="B3" s="16">
        <v>13500000</v>
      </c>
      <c r="C3" s="20">
        <f>B3/[2]Assumptions_Conversions!$D$3</f>
        <v>23275862.068965517</v>
      </c>
      <c r="D3" s="13"/>
    </row>
    <row r="4" spans="1:4">
      <c r="A4" s="4" t="s">
        <v>40</v>
      </c>
      <c r="B4" s="16">
        <v>10800000</v>
      </c>
      <c r="C4" s="20">
        <f>B4/[2]Assumptions_Conversions!$D$5</f>
        <v>13670886.075949367</v>
      </c>
      <c r="D4" s="13"/>
    </row>
    <row r="5" spans="1:4" ht="15" thickBot="1">
      <c r="A5" s="4" t="s">
        <v>41</v>
      </c>
      <c r="B5" s="16">
        <v>4900000</v>
      </c>
      <c r="C5" s="21">
        <f>B5/[2]Assumptions_Conversions!$D$4</f>
        <v>12894736.842105264</v>
      </c>
      <c r="D5" s="12"/>
    </row>
    <row r="6" spans="1:4">
      <c r="A6" s="1" t="s">
        <v>9</v>
      </c>
      <c r="B6" s="23">
        <v>46500000</v>
      </c>
      <c r="C6" s="20">
        <f>SUM(C7:C9)</f>
        <v>74835626.823496982</v>
      </c>
      <c r="D6" s="20"/>
    </row>
    <row r="7" spans="1:4">
      <c r="A7" s="4" t="s">
        <v>39</v>
      </c>
      <c r="B7" s="16">
        <v>13400000</v>
      </c>
      <c r="C7" s="20">
        <f>B7/[2]Assumptions_Conversions!$D$3</f>
        <v>23103448.275862072</v>
      </c>
      <c r="D7" s="20">
        <f>B7-('[1]2023-24'!$F$45*1000000)</f>
        <v>-533155.67275637761</v>
      </c>
    </row>
    <row r="8" spans="1:4">
      <c r="A8" s="4" t="s">
        <v>40</v>
      </c>
      <c r="B8" s="16">
        <v>25900000</v>
      </c>
      <c r="C8" s="20">
        <f>B8/[2]Assumptions_Conversions!$D$5</f>
        <v>32784810.126582276</v>
      </c>
      <c r="D8" s="20">
        <f>B8-('[1]2023-24'!$F$38*1000000)</f>
        <v>115776.08426206931</v>
      </c>
    </row>
    <row r="9" spans="1:4">
      <c r="A9" s="4" t="s">
        <v>41</v>
      </c>
      <c r="B9" s="16">
        <v>7200000</v>
      </c>
      <c r="C9" s="20">
        <f>B9/[2]Assumptions_Conversions!$D$4</f>
        <v>18947368.421052631</v>
      </c>
      <c r="D9" s="20">
        <f>B9-('[1]2023-24'!$F$51*1000000)</f>
        <v>290479.53657428827</v>
      </c>
    </row>
    <row r="10" spans="1:4">
      <c r="A10" s="4" t="s">
        <v>7</v>
      </c>
      <c r="B10" s="16">
        <v>19800000</v>
      </c>
      <c r="C10" s="20">
        <f>SUM(C11:C13)</f>
        <v>29673780.697925515</v>
      </c>
      <c r="D10" s="20"/>
    </row>
    <row r="11" spans="1:4">
      <c r="A11" s="4" t="s">
        <v>39</v>
      </c>
      <c r="B11" s="16">
        <v>800000</v>
      </c>
      <c r="C11" s="20">
        <f>B11/[2]Assumptions_Conversions!$D$3</f>
        <v>1379310.3448275863</v>
      </c>
      <c r="D11" s="20"/>
    </row>
    <row r="12" spans="1:4">
      <c r="A12" s="4" t="s">
        <v>40</v>
      </c>
      <c r="B12" s="16">
        <v>15700000</v>
      </c>
      <c r="C12" s="20">
        <f>B12/[2]Assumptions_Conversions!$D$5</f>
        <v>19873417.721518986</v>
      </c>
      <c r="D12" s="20"/>
    </row>
    <row r="13" spans="1:4" ht="15" thickBot="1">
      <c r="A13" s="6" t="s">
        <v>41</v>
      </c>
      <c r="B13" s="24">
        <v>3200000</v>
      </c>
      <c r="C13" s="21">
        <f>B13/[2]Assumptions_Conversions!$D$4</f>
        <v>8421052.6315789465</v>
      </c>
      <c r="D13" s="20"/>
    </row>
    <row r="14" spans="1:4">
      <c r="A14" s="1" t="s">
        <v>16</v>
      </c>
      <c r="B14" s="23">
        <v>2400000</v>
      </c>
      <c r="C14" s="22">
        <f>SUM(C15:C17)</f>
        <v>4942796.7561855316</v>
      </c>
      <c r="D14" s="11"/>
    </row>
    <row r="15" spans="1:4">
      <c r="A15" s="4" t="s">
        <v>39</v>
      </c>
      <c r="B15" s="16">
        <v>900000</v>
      </c>
      <c r="C15" s="20">
        <f>B15/[2]Assumptions_Conversions!$D$3</f>
        <v>1551724.1379310347</v>
      </c>
      <c r="D15" s="13"/>
    </row>
    <row r="16" spans="1:4">
      <c r="A16" s="4" t="s">
        <v>40</v>
      </c>
      <c r="B16" s="16">
        <v>600000</v>
      </c>
      <c r="C16" s="20">
        <f>B16/[2]Assumptions_Conversions!$D$5</f>
        <v>759493.67088607594</v>
      </c>
      <c r="D16" s="13"/>
    </row>
    <row r="17" spans="1:4" ht="15" thickBot="1">
      <c r="A17" s="6" t="s">
        <v>41</v>
      </c>
      <c r="B17" s="24">
        <v>1000000</v>
      </c>
      <c r="C17" s="21">
        <f>B17/[2]Assumptions_Conversions!$D$4</f>
        <v>2631578.9473684211</v>
      </c>
      <c r="D17" s="12"/>
    </row>
    <row r="18" spans="1:4">
      <c r="A18" s="4" t="s">
        <v>18</v>
      </c>
      <c r="B18" s="16">
        <v>500000</v>
      </c>
      <c r="C18" s="20"/>
      <c r="D18" s="13"/>
    </row>
    <row r="19" spans="1:4">
      <c r="A19" s="4" t="s">
        <v>39</v>
      </c>
      <c r="B19" s="16">
        <v>100000</v>
      </c>
      <c r="C19" s="20"/>
      <c r="D19" s="13"/>
    </row>
    <row r="20" spans="1:4">
      <c r="A20" s="4" t="s">
        <v>40</v>
      </c>
      <c r="B20" s="16">
        <v>300000</v>
      </c>
      <c r="C20" s="20"/>
      <c r="D20" s="13"/>
    </row>
    <row r="21" spans="1:4">
      <c r="A21" s="4" t="s">
        <v>41</v>
      </c>
      <c r="B21" s="16">
        <v>100000</v>
      </c>
      <c r="C21" s="20"/>
      <c r="D21" s="13"/>
    </row>
    <row r="22" spans="1:4" ht="15" thickBot="1">
      <c r="A22" s="6" t="s">
        <v>21</v>
      </c>
      <c r="B22" s="24">
        <v>63</v>
      </c>
      <c r="C22" s="21"/>
      <c r="D22" s="1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7"/>
  <sheetViews>
    <sheetView workbookViewId="0"/>
  </sheetViews>
  <sheetFormatPr defaultColWidth="8.85546875" defaultRowHeight="14.45"/>
  <cols>
    <col min="1" max="1" width="27.7109375" customWidth="1"/>
    <col min="2" max="2" width="13.7109375" customWidth="1"/>
  </cols>
  <sheetData>
    <row r="1" spans="1:2">
      <c r="A1" s="1" t="s">
        <v>76</v>
      </c>
      <c r="B1" s="2" t="s">
        <v>1</v>
      </c>
    </row>
    <row r="2" spans="1:2">
      <c r="A2" s="4" t="s">
        <v>42</v>
      </c>
      <c r="B2" s="5">
        <v>16200000</v>
      </c>
    </row>
    <row r="3" spans="1:2">
      <c r="A3" s="4" t="s">
        <v>39</v>
      </c>
      <c r="B3" s="5">
        <v>9700000</v>
      </c>
    </row>
    <row r="4" spans="1:2">
      <c r="A4" s="4" t="s">
        <v>40</v>
      </c>
      <c r="B4" s="5">
        <v>2700000</v>
      </c>
    </row>
    <row r="5" spans="1:2">
      <c r="A5" s="4" t="s">
        <v>41</v>
      </c>
      <c r="B5" s="5">
        <v>3700000</v>
      </c>
    </row>
    <row r="6" spans="1:2">
      <c r="A6" s="4" t="s">
        <v>77</v>
      </c>
      <c r="B6" s="5">
        <v>0</v>
      </c>
    </row>
    <row r="7" spans="1:2">
      <c r="A7" s="1" t="s">
        <v>9</v>
      </c>
      <c r="B7" s="3">
        <v>21700000</v>
      </c>
    </row>
    <row r="8" spans="1:2">
      <c r="A8" s="4" t="s">
        <v>39</v>
      </c>
      <c r="B8" s="5">
        <v>9400000</v>
      </c>
    </row>
    <row r="9" spans="1:2">
      <c r="A9" s="4" t="s">
        <v>40</v>
      </c>
      <c r="B9" s="5">
        <v>2700000</v>
      </c>
    </row>
    <row r="10" spans="1:2">
      <c r="A10" s="4" t="s">
        <v>41</v>
      </c>
      <c r="B10" s="5">
        <v>5600000</v>
      </c>
    </row>
    <row r="11" spans="1:2">
      <c r="A11" s="4" t="s">
        <v>77</v>
      </c>
      <c r="B11" s="5">
        <v>3900000</v>
      </c>
    </row>
    <row r="12" spans="1:2">
      <c r="A12" s="4" t="s">
        <v>7</v>
      </c>
      <c r="B12" s="5">
        <v>8100000</v>
      </c>
    </row>
    <row r="13" spans="1:2">
      <c r="A13" s="4" t="s">
        <v>39</v>
      </c>
      <c r="B13" s="5">
        <v>500000</v>
      </c>
    </row>
    <row r="14" spans="1:2">
      <c r="A14" s="4" t="s">
        <v>40</v>
      </c>
      <c r="B14" s="5">
        <v>700000</v>
      </c>
    </row>
    <row r="15" spans="1:2">
      <c r="A15" s="4" t="s">
        <v>41</v>
      </c>
      <c r="B15" s="5">
        <v>3000000</v>
      </c>
    </row>
    <row r="16" spans="1:2">
      <c r="A16" s="4" t="s">
        <v>77</v>
      </c>
      <c r="B16" s="5">
        <v>4100000</v>
      </c>
    </row>
    <row r="17" spans="1:2">
      <c r="A17" s="6" t="s">
        <v>16</v>
      </c>
      <c r="B17" s="7">
        <v>2700000</v>
      </c>
    </row>
    <row r="18" spans="1:2">
      <c r="A18" s="4" t="s">
        <v>39</v>
      </c>
      <c r="B18" s="5">
        <v>700000</v>
      </c>
    </row>
    <row r="19" spans="1:2">
      <c r="A19" s="4" t="s">
        <v>40</v>
      </c>
      <c r="B19" s="5">
        <v>700000</v>
      </c>
    </row>
    <row r="20" spans="1:2">
      <c r="A20" s="4" t="s">
        <v>41</v>
      </c>
      <c r="B20" s="5">
        <v>1100000</v>
      </c>
    </row>
    <row r="21" spans="1:2">
      <c r="A21" s="4" t="s">
        <v>77</v>
      </c>
      <c r="B21" s="5">
        <v>100000</v>
      </c>
    </row>
    <row r="22" spans="1:2">
      <c r="A22" s="4" t="s">
        <v>18</v>
      </c>
      <c r="B22" s="8" t="s">
        <v>78</v>
      </c>
    </row>
    <row r="23" spans="1:2">
      <c r="A23" s="4" t="s">
        <v>39</v>
      </c>
      <c r="B23" s="5">
        <v>600000</v>
      </c>
    </row>
    <row r="24" spans="1:2">
      <c r="A24" s="4" t="s">
        <v>40</v>
      </c>
      <c r="B24" s="5">
        <v>200000</v>
      </c>
    </row>
    <row r="25" spans="1:2">
      <c r="A25" s="4" t="s">
        <v>41</v>
      </c>
      <c r="B25" s="5">
        <v>300000</v>
      </c>
    </row>
    <row r="26" spans="1:2">
      <c r="A26" s="4" t="s">
        <v>77</v>
      </c>
      <c r="B26" s="5">
        <v>500000</v>
      </c>
    </row>
    <row r="27" spans="1:2">
      <c r="A27" s="6" t="s">
        <v>21</v>
      </c>
      <c r="B27" s="7">
        <v>758284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40"/>
  <sheetViews>
    <sheetView workbookViewId="0"/>
  </sheetViews>
  <sheetFormatPr defaultColWidth="8.85546875" defaultRowHeight="14.45"/>
  <cols>
    <col min="1" max="1" width="27.7109375" customWidth="1"/>
    <col min="2" max="2" width="12.7109375" customWidth="1"/>
  </cols>
  <sheetData>
    <row r="1" spans="1:2">
      <c r="A1" s="1" t="s">
        <v>79</v>
      </c>
      <c r="B1" s="2" t="s">
        <v>1</v>
      </c>
    </row>
    <row r="2" spans="1:2">
      <c r="A2" s="4" t="s">
        <v>2</v>
      </c>
      <c r="B2" s="5">
        <v>2503000</v>
      </c>
    </row>
    <row r="3" spans="1:2">
      <c r="A3" s="4" t="s">
        <v>80</v>
      </c>
      <c r="B3" s="5">
        <v>982000000</v>
      </c>
    </row>
    <row r="4" spans="1:2">
      <c r="A4" s="4" t="s">
        <v>81</v>
      </c>
      <c r="B4" s="5">
        <v>478000000</v>
      </c>
    </row>
    <row r="5" spans="1:2">
      <c r="A5" s="4" t="s">
        <v>82</v>
      </c>
      <c r="B5" s="5">
        <v>222000000</v>
      </c>
    </row>
    <row r="6" spans="1:2">
      <c r="A6" s="4" t="s">
        <v>83</v>
      </c>
      <c r="B6" s="5">
        <v>820000000</v>
      </c>
    </row>
    <row r="7" spans="1:2">
      <c r="A7" s="4" t="s">
        <v>3</v>
      </c>
      <c r="B7" s="5">
        <v>1.6</v>
      </c>
    </row>
    <row r="8" spans="1:2">
      <c r="A8" s="4" t="s">
        <v>80</v>
      </c>
      <c r="B8" s="5">
        <v>1940000</v>
      </c>
    </row>
    <row r="9" spans="1:2">
      <c r="A9" s="4" t="s">
        <v>81</v>
      </c>
      <c r="B9" s="5">
        <v>2440000</v>
      </c>
    </row>
    <row r="10" spans="1:2">
      <c r="A10" s="4" t="s">
        <v>82</v>
      </c>
      <c r="B10" s="5">
        <v>1640000</v>
      </c>
    </row>
    <row r="11" spans="1:2">
      <c r="A11" s="4" t="s">
        <v>83</v>
      </c>
      <c r="B11" s="5">
        <v>140000</v>
      </c>
    </row>
    <row r="12" spans="1:2">
      <c r="A12" s="4" t="s">
        <v>42</v>
      </c>
      <c r="B12" s="5">
        <v>4549000000</v>
      </c>
    </row>
    <row r="13" spans="1:2">
      <c r="A13" s="4" t="s">
        <v>80</v>
      </c>
      <c r="B13" s="5">
        <v>1907000000</v>
      </c>
    </row>
    <row r="14" spans="1:2">
      <c r="A14" s="4" t="s">
        <v>81</v>
      </c>
      <c r="B14" s="5">
        <v>1163000000</v>
      </c>
    </row>
    <row r="15" spans="1:2">
      <c r="A15" s="4" t="s">
        <v>82</v>
      </c>
      <c r="B15" s="5">
        <v>365000000</v>
      </c>
    </row>
    <row r="16" spans="1:2">
      <c r="A16" s="4" t="s">
        <v>84</v>
      </c>
      <c r="B16" s="5">
        <v>114000000</v>
      </c>
    </row>
    <row r="17" spans="1:2">
      <c r="A17" s="4" t="s">
        <v>85</v>
      </c>
      <c r="B17" s="5">
        <v>176000000</v>
      </c>
    </row>
    <row r="18" spans="1:2">
      <c r="A18" s="4" t="s">
        <v>83</v>
      </c>
      <c r="B18" s="5">
        <v>823000000</v>
      </c>
    </row>
    <row r="19" spans="1:2">
      <c r="A19" s="1" t="s">
        <v>9</v>
      </c>
      <c r="B19" s="3">
        <v>5750000000</v>
      </c>
    </row>
    <row r="20" spans="1:2">
      <c r="A20" s="4" t="s">
        <v>80</v>
      </c>
      <c r="B20" s="5">
        <v>2361000000</v>
      </c>
    </row>
    <row r="21" spans="1:2">
      <c r="A21" s="4" t="s">
        <v>81</v>
      </c>
      <c r="B21" s="5">
        <v>971000000</v>
      </c>
    </row>
    <row r="22" spans="1:2">
      <c r="A22" s="4" t="s">
        <v>82</v>
      </c>
      <c r="B22" s="5">
        <v>580000000</v>
      </c>
    </row>
    <row r="23" spans="1:2">
      <c r="A23" s="4" t="s">
        <v>84</v>
      </c>
      <c r="B23" s="5">
        <v>350000000</v>
      </c>
    </row>
    <row r="24" spans="1:2">
      <c r="A24" s="4" t="s">
        <v>85</v>
      </c>
      <c r="B24" s="5">
        <v>347000000</v>
      </c>
    </row>
    <row r="25" spans="1:2">
      <c r="A25" s="4" t="s">
        <v>83</v>
      </c>
      <c r="B25" s="5">
        <v>1141000000</v>
      </c>
    </row>
    <row r="26" spans="1:2">
      <c r="A26" s="4" t="s">
        <v>7</v>
      </c>
      <c r="B26" s="5">
        <v>1913000000</v>
      </c>
    </row>
    <row r="27" spans="1:2">
      <c r="A27" s="4" t="s">
        <v>80</v>
      </c>
      <c r="B27" s="5">
        <v>808000000</v>
      </c>
    </row>
    <row r="28" spans="1:2">
      <c r="A28" s="4" t="s">
        <v>81</v>
      </c>
      <c r="B28" s="5">
        <v>114000000</v>
      </c>
    </row>
    <row r="29" spans="1:2">
      <c r="A29" s="4" t="s">
        <v>82</v>
      </c>
      <c r="B29" s="5">
        <v>215000000</v>
      </c>
    </row>
    <row r="30" spans="1:2">
      <c r="A30" s="4" t="s">
        <v>84</v>
      </c>
      <c r="B30" s="5">
        <v>243000000</v>
      </c>
    </row>
    <row r="31" spans="1:2">
      <c r="A31" s="4" t="s">
        <v>85</v>
      </c>
      <c r="B31" s="5">
        <v>182000000</v>
      </c>
    </row>
    <row r="32" spans="1:2">
      <c r="A32" s="4" t="s">
        <v>83</v>
      </c>
      <c r="B32" s="5">
        <v>351000000</v>
      </c>
    </row>
    <row r="33" spans="1:2">
      <c r="A33" s="6" t="s">
        <v>16</v>
      </c>
      <c r="B33" s="7">
        <v>712000000</v>
      </c>
    </row>
    <row r="34" spans="1:2">
      <c r="A34" s="4" t="s">
        <v>80</v>
      </c>
      <c r="B34" s="5">
        <v>354000000</v>
      </c>
    </row>
    <row r="35" spans="1:2">
      <c r="A35" s="4" t="s">
        <v>81</v>
      </c>
      <c r="B35" s="5">
        <v>306000000</v>
      </c>
    </row>
    <row r="36" spans="1:2">
      <c r="A36" s="4" t="s">
        <v>82</v>
      </c>
      <c r="B36" s="5">
        <v>0</v>
      </c>
    </row>
    <row r="37" spans="1:2">
      <c r="A37" s="4" t="s">
        <v>84</v>
      </c>
      <c r="B37" s="5">
        <v>7000000</v>
      </c>
    </row>
    <row r="38" spans="1:2">
      <c r="A38" s="4" t="s">
        <v>85</v>
      </c>
      <c r="B38" s="5">
        <v>11000000</v>
      </c>
    </row>
    <row r="39" spans="1:2">
      <c r="A39" s="4" t="s">
        <v>83</v>
      </c>
      <c r="B39" s="5">
        <v>33000000</v>
      </c>
    </row>
    <row r="40" spans="1:2">
      <c r="A40" s="6" t="s">
        <v>21</v>
      </c>
      <c r="B40" s="7">
        <v>798381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8"/>
  <sheetViews>
    <sheetView workbookViewId="0"/>
  </sheetViews>
  <sheetFormatPr defaultColWidth="8.85546875" defaultRowHeight="14.45"/>
  <cols>
    <col min="1" max="1" width="48.7109375" customWidth="1"/>
    <col min="2" max="2" width="12.7109375" customWidth="1"/>
  </cols>
  <sheetData>
    <row r="1" spans="1:2">
      <c r="A1" s="1" t="s">
        <v>86</v>
      </c>
      <c r="B1" s="2" t="s">
        <v>1</v>
      </c>
    </row>
    <row r="2" spans="1:2">
      <c r="A2" s="1" t="s">
        <v>87</v>
      </c>
      <c r="B2" s="3">
        <v>1468000</v>
      </c>
    </row>
    <row r="3" spans="1:2">
      <c r="A3" s="4" t="s">
        <v>88</v>
      </c>
      <c r="B3" s="5">
        <v>75.099999999999994</v>
      </c>
    </row>
    <row r="4" spans="1:2">
      <c r="A4" s="4" t="s">
        <v>89</v>
      </c>
      <c r="B4" s="5">
        <v>110000000</v>
      </c>
    </row>
    <row r="5" spans="1:2">
      <c r="A5" s="4" t="s">
        <v>4</v>
      </c>
      <c r="B5" s="5">
        <v>2100000</v>
      </c>
    </row>
    <row r="6" spans="1:2">
      <c r="A6" s="4" t="s">
        <v>90</v>
      </c>
      <c r="B6" s="5">
        <v>15600000</v>
      </c>
    </row>
    <row r="7" spans="1:2">
      <c r="A7" s="4" t="s">
        <v>7</v>
      </c>
      <c r="B7" s="5">
        <v>1400000</v>
      </c>
    </row>
    <row r="8" spans="1:2">
      <c r="A8" s="6" t="s">
        <v>8</v>
      </c>
      <c r="B8" s="7">
        <v>19000000</v>
      </c>
    </row>
    <row r="9" spans="1:2">
      <c r="A9" s="1" t="s">
        <v>91</v>
      </c>
      <c r="B9" s="3">
        <v>15300000</v>
      </c>
    </row>
    <row r="10" spans="1:2">
      <c r="A10" s="4" t="s">
        <v>10</v>
      </c>
      <c r="B10" s="5">
        <v>14100000</v>
      </c>
    </row>
    <row r="11" spans="1:2">
      <c r="A11" s="4" t="s">
        <v>92</v>
      </c>
      <c r="B11" s="5">
        <v>1700000</v>
      </c>
    </row>
    <row r="12" spans="1:2">
      <c r="A12" s="4" t="s">
        <v>12</v>
      </c>
      <c r="B12" s="5">
        <v>1200000</v>
      </c>
    </row>
    <row r="13" spans="1:2">
      <c r="A13" s="4" t="s">
        <v>93</v>
      </c>
      <c r="B13" s="5">
        <v>800000</v>
      </c>
    </row>
    <row r="14" spans="1:2">
      <c r="A14" s="6" t="s">
        <v>16</v>
      </c>
      <c r="B14" s="7">
        <v>1600000</v>
      </c>
    </row>
    <row r="15" spans="1:2">
      <c r="A15" s="4" t="s">
        <v>17</v>
      </c>
      <c r="B15" s="5">
        <v>16900000</v>
      </c>
    </row>
    <row r="16" spans="1:2">
      <c r="A16" s="4" t="s">
        <v>18</v>
      </c>
      <c r="B16" s="5">
        <v>2100000</v>
      </c>
    </row>
    <row r="17" spans="1:2">
      <c r="A17" s="4" t="s">
        <v>94</v>
      </c>
      <c r="B17" s="5">
        <v>100000</v>
      </c>
    </row>
    <row r="18" spans="1:2">
      <c r="A18" s="6" t="s">
        <v>21</v>
      </c>
      <c r="B18" s="7">
        <v>102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1"/>
  <sheetViews>
    <sheetView workbookViewId="0"/>
  </sheetViews>
  <sheetFormatPr defaultColWidth="8.85546875" defaultRowHeight="14.45"/>
  <cols>
    <col min="1" max="1" width="34.7109375" customWidth="1"/>
    <col min="2" max="2" width="12.7109375" customWidth="1"/>
  </cols>
  <sheetData>
    <row r="1" spans="1:2">
      <c r="A1" s="1" t="s">
        <v>95</v>
      </c>
      <c r="B1" s="2" t="s">
        <v>1</v>
      </c>
    </row>
    <row r="2" spans="1:2">
      <c r="A2" s="4" t="s">
        <v>4</v>
      </c>
      <c r="B2" s="5">
        <v>19000</v>
      </c>
    </row>
    <row r="3" spans="1:2">
      <c r="A3" s="4" t="s">
        <v>42</v>
      </c>
      <c r="B3" s="5">
        <v>494900</v>
      </c>
    </row>
    <row r="4" spans="1:2">
      <c r="A4" s="4" t="s">
        <v>7</v>
      </c>
      <c r="B4" s="5">
        <v>2900</v>
      </c>
    </row>
    <row r="5" spans="1:2">
      <c r="A5" s="4" t="s">
        <v>8</v>
      </c>
      <c r="B5" s="5">
        <v>516799.99999999988</v>
      </c>
    </row>
    <row r="6" spans="1:2">
      <c r="A6" s="1" t="s">
        <v>9</v>
      </c>
      <c r="B6" s="3">
        <v>446700</v>
      </c>
    </row>
    <row r="7" spans="1:2">
      <c r="A7" s="4" t="s">
        <v>96</v>
      </c>
      <c r="B7" s="5">
        <v>2.8</v>
      </c>
    </row>
    <row r="8" spans="1:2">
      <c r="A8" s="6" t="s">
        <v>16</v>
      </c>
      <c r="B8" s="7">
        <v>46100</v>
      </c>
    </row>
    <row r="9" spans="1:2">
      <c r="A9" s="4" t="s">
        <v>17</v>
      </c>
      <c r="B9" s="5">
        <v>492800</v>
      </c>
    </row>
    <row r="10" spans="1:2">
      <c r="A10" s="4" t="s">
        <v>18</v>
      </c>
      <c r="B10" s="5">
        <v>24000</v>
      </c>
    </row>
    <row r="11" spans="1:2">
      <c r="A11" s="6" t="s">
        <v>21</v>
      </c>
      <c r="B11" s="7">
        <v>111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6"/>
  <sheetViews>
    <sheetView workbookViewId="0"/>
  </sheetViews>
  <sheetFormatPr defaultColWidth="8.85546875" defaultRowHeight="14.45"/>
  <cols>
    <col min="1" max="1" width="45.7109375" customWidth="1"/>
    <col min="2" max="2" width="12.7109375" customWidth="1"/>
  </cols>
  <sheetData>
    <row r="1" spans="1:2">
      <c r="A1" s="1" t="s">
        <v>97</v>
      </c>
      <c r="B1" s="2" t="s">
        <v>1</v>
      </c>
    </row>
    <row r="2" spans="1:2">
      <c r="A2" s="1" t="s">
        <v>98</v>
      </c>
      <c r="B2" s="3">
        <v>4677000</v>
      </c>
    </row>
    <row r="3" spans="1:2">
      <c r="A3" s="4" t="s">
        <v>99</v>
      </c>
      <c r="B3" s="5">
        <v>2</v>
      </c>
    </row>
    <row r="4" spans="1:2">
      <c r="A4" s="4" t="s">
        <v>100</v>
      </c>
      <c r="B4" s="5">
        <v>170</v>
      </c>
    </row>
    <row r="5" spans="1:2">
      <c r="A5" s="4" t="s">
        <v>4</v>
      </c>
      <c r="B5" s="5">
        <v>410000</v>
      </c>
    </row>
    <row r="6" spans="1:2">
      <c r="A6" s="4" t="s">
        <v>42</v>
      </c>
      <c r="B6" s="5">
        <v>1532000</v>
      </c>
    </row>
    <row r="7" spans="1:2">
      <c r="A7" s="4" t="s">
        <v>7</v>
      </c>
      <c r="B7" s="5">
        <v>205000</v>
      </c>
    </row>
    <row r="8" spans="1:2">
      <c r="A8" s="4" t="s">
        <v>16</v>
      </c>
      <c r="B8" s="5">
        <v>608000</v>
      </c>
    </row>
    <row r="9" spans="1:2">
      <c r="A9" s="6" t="s">
        <v>8</v>
      </c>
      <c r="B9" s="7">
        <v>1538000</v>
      </c>
    </row>
    <row r="10" spans="1:2">
      <c r="A10" s="4" t="s">
        <v>101</v>
      </c>
      <c r="B10" s="5">
        <v>1242000</v>
      </c>
    </row>
    <row r="11" spans="1:2">
      <c r="A11" s="4" t="s">
        <v>102</v>
      </c>
      <c r="B11" s="5">
        <v>941000</v>
      </c>
    </row>
    <row r="12" spans="1:2">
      <c r="A12" s="4" t="s">
        <v>103</v>
      </c>
      <c r="B12" s="5">
        <v>300000</v>
      </c>
    </row>
    <row r="13" spans="1:2">
      <c r="A13" s="4" t="s">
        <v>104</v>
      </c>
      <c r="B13" s="5">
        <v>2.8</v>
      </c>
    </row>
    <row r="14" spans="1:2">
      <c r="A14" s="4" t="s">
        <v>102</v>
      </c>
      <c r="B14" s="5">
        <v>7300</v>
      </c>
    </row>
    <row r="15" spans="1:2">
      <c r="A15" s="4" t="s">
        <v>18</v>
      </c>
      <c r="B15" s="5">
        <v>297000</v>
      </c>
    </row>
    <row r="16" spans="1:2">
      <c r="A16" s="6" t="s">
        <v>21</v>
      </c>
      <c r="B16" s="7">
        <v>123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4"/>
  <sheetViews>
    <sheetView workbookViewId="0"/>
  </sheetViews>
  <sheetFormatPr defaultColWidth="8.85546875" defaultRowHeight="14.45"/>
  <cols>
    <col min="1" max="1" width="31.7109375" customWidth="1"/>
    <col min="2" max="2" width="12.7109375" customWidth="1"/>
  </cols>
  <sheetData>
    <row r="1" spans="1:2">
      <c r="A1" s="1" t="s">
        <v>105</v>
      </c>
      <c r="B1" s="2" t="s">
        <v>1</v>
      </c>
    </row>
    <row r="2" spans="1:2">
      <c r="A2" s="4" t="s">
        <v>106</v>
      </c>
      <c r="B2" s="5">
        <v>3.2</v>
      </c>
    </row>
    <row r="3" spans="1:2">
      <c r="A3" s="4" t="s">
        <v>107</v>
      </c>
      <c r="B3" s="5">
        <v>45.3</v>
      </c>
    </row>
    <row r="4" spans="1:2">
      <c r="A4" s="4" t="s">
        <v>108</v>
      </c>
      <c r="B4" s="5">
        <v>143</v>
      </c>
    </row>
    <row r="5" spans="1:2">
      <c r="A5" s="4" t="s">
        <v>109</v>
      </c>
      <c r="B5" s="5">
        <v>130</v>
      </c>
    </row>
    <row r="6" spans="1:2">
      <c r="A6" s="4" t="s">
        <v>110</v>
      </c>
      <c r="B6" s="5">
        <v>14</v>
      </c>
    </row>
    <row r="7" spans="1:2">
      <c r="A7" s="1" t="s">
        <v>9</v>
      </c>
      <c r="B7" s="3">
        <v>134</v>
      </c>
    </row>
    <row r="8" spans="1:2">
      <c r="A8" s="4" t="s">
        <v>111</v>
      </c>
      <c r="B8" s="5">
        <v>96</v>
      </c>
    </row>
    <row r="9" spans="1:2">
      <c r="A9" s="4" t="s">
        <v>112</v>
      </c>
      <c r="B9" s="5">
        <v>21.3</v>
      </c>
    </row>
    <row r="10" spans="1:2">
      <c r="A10" s="4" t="s">
        <v>113</v>
      </c>
      <c r="B10" s="5">
        <v>38</v>
      </c>
    </row>
    <row r="11" spans="1:2">
      <c r="A11" s="4" t="s">
        <v>7</v>
      </c>
      <c r="B11" s="5">
        <v>6</v>
      </c>
    </row>
    <row r="12" spans="1:2">
      <c r="A12" s="6" t="s">
        <v>16</v>
      </c>
      <c r="B12" s="7">
        <v>29</v>
      </c>
    </row>
    <row r="13" spans="1:2">
      <c r="A13" s="4" t="s">
        <v>18</v>
      </c>
      <c r="B13" s="5">
        <v>162</v>
      </c>
    </row>
    <row r="14" spans="1:2">
      <c r="A14" s="6" t="s">
        <v>21</v>
      </c>
      <c r="B14" s="7">
        <v>107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20"/>
  <sheetViews>
    <sheetView workbookViewId="0"/>
  </sheetViews>
  <sheetFormatPr defaultColWidth="8.85546875" defaultRowHeight="14.45"/>
  <cols>
    <col min="1" max="1" width="41.7109375" customWidth="1"/>
    <col min="2" max="2" width="12.7109375" customWidth="1"/>
  </cols>
  <sheetData>
    <row r="1" spans="1:2">
      <c r="A1" s="1" t="s">
        <v>114</v>
      </c>
      <c r="B1" s="2" t="s">
        <v>1</v>
      </c>
    </row>
    <row r="2" spans="1:2">
      <c r="A2" s="4" t="s">
        <v>115</v>
      </c>
      <c r="B2" s="5">
        <v>472000</v>
      </c>
    </row>
    <row r="3" spans="1:2">
      <c r="A3" s="4" t="s">
        <v>3</v>
      </c>
      <c r="B3" s="5">
        <v>26</v>
      </c>
    </row>
    <row r="4" spans="1:2">
      <c r="A4" s="4" t="s">
        <v>116</v>
      </c>
      <c r="B4" s="5">
        <v>12053000</v>
      </c>
    </row>
    <row r="5" spans="1:2">
      <c r="A5" s="4" t="s">
        <v>117</v>
      </c>
      <c r="B5" s="5">
        <v>718000</v>
      </c>
    </row>
    <row r="6" spans="1:2">
      <c r="A6" s="4" t="s">
        <v>118</v>
      </c>
      <c r="B6" s="5">
        <v>11335000</v>
      </c>
    </row>
    <row r="7" spans="1:2">
      <c r="A7" s="4" t="s">
        <v>119</v>
      </c>
      <c r="B7" s="5">
        <v>6814000</v>
      </c>
    </row>
    <row r="8" spans="1:2">
      <c r="A8" s="4" t="s">
        <v>120</v>
      </c>
      <c r="B8" s="5">
        <v>949000</v>
      </c>
    </row>
    <row r="9" spans="1:2">
      <c r="A9" s="4" t="s">
        <v>121</v>
      </c>
      <c r="B9" s="5">
        <v>249000</v>
      </c>
    </row>
    <row r="10" spans="1:2">
      <c r="A10" s="4" t="s">
        <v>122</v>
      </c>
      <c r="B10" s="5">
        <v>6000000</v>
      </c>
    </row>
    <row r="11" spans="1:2">
      <c r="A11" s="4" t="s">
        <v>123</v>
      </c>
      <c r="B11" s="5">
        <v>13.3</v>
      </c>
    </row>
    <row r="12" spans="1:2">
      <c r="A12" s="4" t="s">
        <v>124</v>
      </c>
      <c r="B12" s="5">
        <v>423000</v>
      </c>
    </row>
    <row r="13" spans="1:2">
      <c r="A13" s="4" t="s">
        <v>94</v>
      </c>
      <c r="B13" s="5">
        <v>113000</v>
      </c>
    </row>
    <row r="14" spans="1:2">
      <c r="A14" s="4" t="s">
        <v>125</v>
      </c>
      <c r="B14" s="5">
        <v>114</v>
      </c>
    </row>
    <row r="15" spans="1:2">
      <c r="A15" s="4" t="s">
        <v>126</v>
      </c>
      <c r="B15" s="5">
        <v>4521000</v>
      </c>
    </row>
    <row r="16" spans="1:2">
      <c r="A16" s="4" t="s">
        <v>127</v>
      </c>
      <c r="B16" s="5">
        <v>1246000</v>
      </c>
    </row>
    <row r="17" spans="1:2">
      <c r="A17" s="4" t="s">
        <v>128</v>
      </c>
      <c r="B17" s="5">
        <v>1224000</v>
      </c>
    </row>
    <row r="18" spans="1:2">
      <c r="A18" s="4" t="s">
        <v>129</v>
      </c>
      <c r="B18" s="5">
        <v>4499000</v>
      </c>
    </row>
    <row r="19" spans="1:2">
      <c r="A19" s="4" t="s">
        <v>130</v>
      </c>
      <c r="B19" s="5">
        <v>10</v>
      </c>
    </row>
    <row r="20" spans="1:2">
      <c r="A20" s="6" t="s">
        <v>131</v>
      </c>
      <c r="B20" s="7">
        <v>100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16"/>
  <sheetViews>
    <sheetView workbookViewId="0"/>
  </sheetViews>
  <sheetFormatPr defaultColWidth="8.85546875" defaultRowHeight="14.45"/>
  <cols>
    <col min="1" max="1" width="41.7109375" customWidth="1"/>
    <col min="2" max="2" width="12.7109375" customWidth="1"/>
  </cols>
  <sheetData>
    <row r="1" spans="1:2">
      <c r="A1" s="1" t="s">
        <v>132</v>
      </c>
      <c r="B1" s="2" t="s">
        <v>1</v>
      </c>
    </row>
    <row r="2" spans="1:2">
      <c r="A2" s="4" t="s">
        <v>115</v>
      </c>
      <c r="B2" s="5">
        <v>277000</v>
      </c>
    </row>
    <row r="3" spans="1:2">
      <c r="A3" s="4" t="s">
        <v>3</v>
      </c>
      <c r="B3" s="5">
        <v>21</v>
      </c>
    </row>
    <row r="4" spans="1:2">
      <c r="A4" s="4" t="s">
        <v>116</v>
      </c>
      <c r="B4" s="5">
        <v>5721000</v>
      </c>
    </row>
    <row r="5" spans="1:2">
      <c r="A5" s="4" t="s">
        <v>119</v>
      </c>
      <c r="B5" s="5">
        <v>5022000</v>
      </c>
    </row>
    <row r="6" spans="1:2">
      <c r="A6" s="4" t="s">
        <v>120</v>
      </c>
      <c r="B6" s="5">
        <v>308000</v>
      </c>
    </row>
    <row r="7" spans="1:2">
      <c r="A7" s="4" t="s">
        <v>121</v>
      </c>
      <c r="B7" s="5">
        <v>942000</v>
      </c>
    </row>
    <row r="8" spans="1:2">
      <c r="A8" s="4" t="s">
        <v>122</v>
      </c>
      <c r="B8" s="5">
        <v>5656000</v>
      </c>
    </row>
    <row r="9" spans="1:2">
      <c r="A9" s="4" t="s">
        <v>123</v>
      </c>
      <c r="B9" s="5">
        <v>12.5</v>
      </c>
    </row>
    <row r="10" spans="1:2">
      <c r="A10" s="4" t="s">
        <v>125</v>
      </c>
      <c r="B10" s="5">
        <v>89</v>
      </c>
    </row>
    <row r="11" spans="1:2">
      <c r="A11" s="4" t="s">
        <v>126</v>
      </c>
      <c r="B11" s="5">
        <v>699000</v>
      </c>
    </row>
    <row r="12" spans="1:2">
      <c r="A12" s="4" t="s">
        <v>127</v>
      </c>
      <c r="B12" s="5">
        <v>1071000</v>
      </c>
    </row>
    <row r="13" spans="1:2">
      <c r="A13" s="4" t="s">
        <v>128</v>
      </c>
      <c r="B13" s="5">
        <v>2624000</v>
      </c>
    </row>
    <row r="14" spans="1:2">
      <c r="A14" s="4" t="s">
        <v>129</v>
      </c>
      <c r="B14" s="5">
        <v>2252000</v>
      </c>
    </row>
    <row r="15" spans="1:2">
      <c r="A15" s="4" t="s">
        <v>130</v>
      </c>
      <c r="B15" s="5">
        <v>5</v>
      </c>
    </row>
    <row r="16" spans="1:2">
      <c r="A16" s="6" t="s">
        <v>131</v>
      </c>
      <c r="B16" s="7">
        <v>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22"/>
  <sheetViews>
    <sheetView workbookViewId="0"/>
  </sheetViews>
  <sheetFormatPr defaultColWidth="8.85546875" defaultRowHeight="14.45"/>
  <cols>
    <col min="1" max="1" width="45.7109375" customWidth="1"/>
    <col min="2" max="2" width="12.7109375" customWidth="1"/>
  </cols>
  <sheetData>
    <row r="1" spans="1:2">
      <c r="A1" s="1" t="s">
        <v>133</v>
      </c>
      <c r="B1" s="2" t="s">
        <v>1</v>
      </c>
    </row>
    <row r="2" spans="1:2">
      <c r="A2" s="4" t="s">
        <v>134</v>
      </c>
      <c r="B2" s="5">
        <v>207000</v>
      </c>
    </row>
    <row r="3" spans="1:2">
      <c r="A3" s="4" t="s">
        <v>135</v>
      </c>
      <c r="B3" s="5">
        <v>20</v>
      </c>
    </row>
    <row r="4" spans="1:2">
      <c r="A4" s="4" t="s">
        <v>116</v>
      </c>
      <c r="B4" s="5">
        <v>4049000</v>
      </c>
    </row>
    <row r="5" spans="1:2">
      <c r="A5" s="4" t="s">
        <v>136</v>
      </c>
      <c r="B5" s="5">
        <v>178000</v>
      </c>
    </row>
    <row r="6" spans="1:2">
      <c r="A6" s="4"/>
      <c r="B6" s="5">
        <v>19000</v>
      </c>
    </row>
    <row r="7" spans="1:2">
      <c r="A7" s="4" t="s">
        <v>119</v>
      </c>
      <c r="B7" s="5">
        <v>3330000</v>
      </c>
    </row>
    <row r="8" spans="1:2">
      <c r="A8" s="4" t="s">
        <v>137</v>
      </c>
      <c r="B8" s="5">
        <v>3205000</v>
      </c>
    </row>
    <row r="9" spans="1:2">
      <c r="A9" s="4" t="s">
        <v>120</v>
      </c>
      <c r="B9" s="5">
        <v>259000</v>
      </c>
    </row>
    <row r="10" spans="1:2">
      <c r="A10" s="4" t="s">
        <v>121</v>
      </c>
      <c r="B10" s="5">
        <v>24000</v>
      </c>
    </row>
    <row r="11" spans="1:2">
      <c r="A11" s="4" t="s">
        <v>122</v>
      </c>
      <c r="B11" s="5">
        <v>3095000</v>
      </c>
    </row>
    <row r="12" spans="1:2">
      <c r="A12" s="4" t="s">
        <v>123</v>
      </c>
      <c r="B12" s="5">
        <v>6.9</v>
      </c>
    </row>
    <row r="13" spans="1:2">
      <c r="A13" s="4" t="s">
        <v>125</v>
      </c>
      <c r="B13" s="5">
        <v>108</v>
      </c>
    </row>
    <row r="14" spans="1:2">
      <c r="A14" s="4" t="s">
        <v>138</v>
      </c>
      <c r="B14" s="5">
        <v>29000</v>
      </c>
    </row>
    <row r="15" spans="1:2">
      <c r="A15" s="4" t="s">
        <v>139</v>
      </c>
      <c r="B15" s="5">
        <v>25</v>
      </c>
    </row>
    <row r="16" spans="1:2">
      <c r="A16" s="4" t="s">
        <v>126</v>
      </c>
      <c r="B16" s="5">
        <v>718000</v>
      </c>
    </row>
    <row r="17" spans="1:2">
      <c r="A17" s="4" t="s">
        <v>140</v>
      </c>
      <c r="B17" s="5">
        <v>695000</v>
      </c>
    </row>
    <row r="18" spans="1:2">
      <c r="A18" s="4" t="s">
        <v>127</v>
      </c>
      <c r="B18" s="5">
        <v>184000</v>
      </c>
    </row>
    <row r="19" spans="1:2">
      <c r="A19" s="4" t="s">
        <v>128</v>
      </c>
      <c r="B19" s="5">
        <v>10000</v>
      </c>
    </row>
    <row r="20" spans="1:2">
      <c r="A20" s="4" t="s">
        <v>129</v>
      </c>
      <c r="B20" s="5">
        <v>544000</v>
      </c>
    </row>
    <row r="21" spans="1:2">
      <c r="A21" s="4" t="s">
        <v>130</v>
      </c>
      <c r="B21" s="5">
        <v>1.2</v>
      </c>
    </row>
    <row r="22" spans="1:2">
      <c r="A22" s="6" t="s">
        <v>131</v>
      </c>
      <c r="B22" s="7">
        <v>132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16"/>
  <sheetViews>
    <sheetView workbookViewId="0"/>
  </sheetViews>
  <sheetFormatPr defaultColWidth="8.85546875" defaultRowHeight="14.45"/>
  <cols>
    <col min="1" max="1" width="41.7109375" customWidth="1"/>
    <col min="2" max="2" width="12.7109375" customWidth="1"/>
  </cols>
  <sheetData>
    <row r="1" spans="1:2">
      <c r="A1" s="1" t="s">
        <v>141</v>
      </c>
      <c r="B1" s="2" t="s">
        <v>1</v>
      </c>
    </row>
    <row r="2" spans="1:2">
      <c r="A2" s="4" t="s">
        <v>116</v>
      </c>
      <c r="B2" s="5">
        <v>17277000</v>
      </c>
    </row>
    <row r="3" spans="1:2">
      <c r="A3" s="4" t="s">
        <v>119</v>
      </c>
      <c r="B3" s="5">
        <v>6934000</v>
      </c>
    </row>
    <row r="4" spans="1:2">
      <c r="A4" s="4" t="s">
        <v>120</v>
      </c>
      <c r="B4" s="5">
        <v>461000</v>
      </c>
    </row>
    <row r="5" spans="1:2">
      <c r="A5" s="4" t="s">
        <v>121</v>
      </c>
      <c r="B5" s="5">
        <v>583000</v>
      </c>
    </row>
    <row r="6" spans="1:2">
      <c r="A6" s="4" t="s">
        <v>122</v>
      </c>
      <c r="B6" s="5">
        <v>7056000</v>
      </c>
    </row>
    <row r="7" spans="1:2">
      <c r="A7" s="4" t="s">
        <v>123</v>
      </c>
      <c r="B7" s="5">
        <v>15.8</v>
      </c>
    </row>
    <row r="8" spans="1:2">
      <c r="A8" s="4" t="s">
        <v>125</v>
      </c>
      <c r="B8" s="5">
        <v>98</v>
      </c>
    </row>
    <row r="9" spans="1:2">
      <c r="A9" s="4" t="s">
        <v>126</v>
      </c>
      <c r="B9" s="5">
        <v>10343000</v>
      </c>
    </row>
    <row r="10" spans="1:2">
      <c r="A10" s="4" t="s">
        <v>142</v>
      </c>
      <c r="B10" s="5">
        <v>9411000</v>
      </c>
    </row>
    <row r="11" spans="1:2">
      <c r="A11" s="4" t="s">
        <v>143</v>
      </c>
      <c r="B11" s="5">
        <v>932000</v>
      </c>
    </row>
    <row r="12" spans="1:2">
      <c r="A12" s="4" t="s">
        <v>127</v>
      </c>
      <c r="B12" s="5">
        <v>4618000</v>
      </c>
    </row>
    <row r="13" spans="1:2">
      <c r="A13" s="4" t="s">
        <v>128</v>
      </c>
      <c r="B13" s="5">
        <v>1930000</v>
      </c>
    </row>
    <row r="14" spans="1:2">
      <c r="A14" s="4" t="s">
        <v>144</v>
      </c>
      <c r="B14" s="5">
        <v>7655000</v>
      </c>
    </row>
    <row r="15" spans="1:2">
      <c r="A15" s="4" t="s">
        <v>130</v>
      </c>
      <c r="B15" s="5">
        <v>17.100000000000001</v>
      </c>
    </row>
    <row r="16" spans="1:2">
      <c r="A16" s="6" t="s">
        <v>131</v>
      </c>
      <c r="B16" s="7">
        <v>135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10"/>
  <sheetViews>
    <sheetView workbookViewId="0"/>
  </sheetViews>
  <sheetFormatPr defaultColWidth="8.85546875" defaultRowHeight="14.45"/>
  <cols>
    <col min="1" max="1" width="42.7109375" customWidth="1"/>
    <col min="2" max="2" width="12.7109375" customWidth="1"/>
  </cols>
  <sheetData>
    <row r="1" spans="1:2">
      <c r="A1" s="1" t="s">
        <v>145</v>
      </c>
      <c r="B1" s="2" t="s">
        <v>1</v>
      </c>
    </row>
    <row r="2" spans="1:2">
      <c r="A2" s="4" t="s">
        <v>146</v>
      </c>
      <c r="B2" s="5">
        <v>20.5</v>
      </c>
    </row>
    <row r="3" spans="1:2">
      <c r="A3" s="4" t="s">
        <v>147</v>
      </c>
      <c r="B3" s="5">
        <v>7304</v>
      </c>
    </row>
    <row r="4" spans="1:2">
      <c r="A4" s="4" t="s">
        <v>148</v>
      </c>
      <c r="B4" s="5">
        <v>152.19999999999999</v>
      </c>
    </row>
    <row r="5" spans="1:2">
      <c r="A5" s="4" t="s">
        <v>149</v>
      </c>
      <c r="B5" s="5">
        <v>3.3</v>
      </c>
    </row>
    <row r="6" spans="1:2">
      <c r="A6" s="4" t="s">
        <v>150</v>
      </c>
      <c r="B6" s="5">
        <v>6.2</v>
      </c>
    </row>
    <row r="7" spans="1:2">
      <c r="A7" s="4" t="s">
        <v>151</v>
      </c>
      <c r="B7" s="5">
        <v>142.6</v>
      </c>
    </row>
    <row r="8" spans="1:2">
      <c r="A8" s="4" t="s">
        <v>152</v>
      </c>
      <c r="B8" s="5">
        <v>93.7</v>
      </c>
    </row>
    <row r="9" spans="1:2">
      <c r="A9" s="4" t="s">
        <v>153</v>
      </c>
      <c r="B9" s="5">
        <v>4.0999999999999996</v>
      </c>
    </row>
    <row r="10" spans="1:2">
      <c r="A10" s="6" t="s">
        <v>154</v>
      </c>
      <c r="B10" s="7">
        <v>3.5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14"/>
  <sheetViews>
    <sheetView workbookViewId="0"/>
  </sheetViews>
  <sheetFormatPr defaultColWidth="8.85546875" defaultRowHeight="14.45"/>
  <cols>
    <col min="1" max="1" width="31.7109375" customWidth="1"/>
    <col min="2" max="2" width="12.7109375" customWidth="1"/>
  </cols>
  <sheetData>
    <row r="1" spans="1:2">
      <c r="A1" s="1" t="s">
        <v>155</v>
      </c>
      <c r="B1" s="2" t="s">
        <v>1</v>
      </c>
    </row>
    <row r="2" spans="1:2">
      <c r="A2" s="4" t="s">
        <v>156</v>
      </c>
      <c r="B2" s="5">
        <v>10045000</v>
      </c>
    </row>
    <row r="3" spans="1:2">
      <c r="A3" s="4" t="s">
        <v>157</v>
      </c>
      <c r="B3" s="5">
        <v>9164000</v>
      </c>
    </row>
    <row r="4" spans="1:2">
      <c r="A4" s="4" t="s">
        <v>158</v>
      </c>
      <c r="B4" s="5">
        <v>881000</v>
      </c>
    </row>
    <row r="5" spans="1:2">
      <c r="A5" s="4" t="s">
        <v>159</v>
      </c>
      <c r="B5" s="5">
        <v>394000</v>
      </c>
    </row>
    <row r="6" spans="1:2">
      <c r="A6" s="4" t="s">
        <v>116</v>
      </c>
      <c r="B6" s="5">
        <v>10439000</v>
      </c>
    </row>
    <row r="7" spans="1:2">
      <c r="A7" s="4" t="s">
        <v>160</v>
      </c>
      <c r="B7" s="5">
        <v>212000</v>
      </c>
    </row>
    <row r="8" spans="1:2">
      <c r="A8" s="4" t="s">
        <v>16</v>
      </c>
      <c r="B8" s="5">
        <v>1348000</v>
      </c>
    </row>
    <row r="9" spans="1:2">
      <c r="A9" s="4" t="s">
        <v>161</v>
      </c>
      <c r="B9" s="5">
        <v>9303000</v>
      </c>
    </row>
    <row r="10" spans="1:2">
      <c r="A10" s="4" t="s">
        <v>94</v>
      </c>
      <c r="B10" s="5">
        <v>0</v>
      </c>
    </row>
    <row r="11" spans="1:2">
      <c r="A11" s="4" t="s">
        <v>162</v>
      </c>
      <c r="B11" s="5">
        <v>331000</v>
      </c>
    </row>
    <row r="12" spans="1:2">
      <c r="A12" s="4" t="s">
        <v>111</v>
      </c>
      <c r="B12" s="5">
        <v>8972000</v>
      </c>
    </row>
    <row r="13" spans="1:2">
      <c r="A13" s="4" t="s">
        <v>163</v>
      </c>
      <c r="B13" s="5">
        <v>20.100000000000001</v>
      </c>
    </row>
    <row r="14" spans="1:2">
      <c r="A14" s="6" t="s">
        <v>21</v>
      </c>
      <c r="B14" s="7">
        <v>112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11"/>
  <sheetViews>
    <sheetView workbookViewId="0">
      <selection activeCell="B14" sqref="B14"/>
    </sheetView>
  </sheetViews>
  <sheetFormatPr defaultColWidth="8.85546875" defaultRowHeight="14.45"/>
  <cols>
    <col min="1" max="1" width="32.7109375" customWidth="1"/>
    <col min="2" max="2" width="12.7109375" customWidth="1"/>
  </cols>
  <sheetData>
    <row r="1" spans="1:2">
      <c r="A1" s="1" t="s">
        <v>164</v>
      </c>
      <c r="B1" s="2" t="s">
        <v>1</v>
      </c>
    </row>
    <row r="2" spans="1:2">
      <c r="A2" s="4" t="s">
        <v>42</v>
      </c>
      <c r="B2" s="5">
        <v>37802000</v>
      </c>
    </row>
    <row r="3" spans="1:2">
      <c r="A3" s="4" t="s">
        <v>165</v>
      </c>
      <c r="B3" s="5">
        <v>23359000</v>
      </c>
    </row>
    <row r="4" spans="1:2">
      <c r="A4" s="4" t="s">
        <v>166</v>
      </c>
      <c r="B4" s="5">
        <v>2468000</v>
      </c>
    </row>
    <row r="5" spans="1:2">
      <c r="A5" s="4" t="s">
        <v>167</v>
      </c>
      <c r="B5" s="5">
        <v>7663000</v>
      </c>
    </row>
    <row r="6" spans="1:2">
      <c r="A6" s="4" t="s">
        <v>168</v>
      </c>
      <c r="B6" s="5">
        <v>4311000</v>
      </c>
    </row>
    <row r="7" spans="1:2">
      <c r="A7" s="4" t="s">
        <v>7</v>
      </c>
      <c r="B7" s="5">
        <v>825000</v>
      </c>
    </row>
    <row r="8" spans="1:2">
      <c r="A8" s="4" t="s">
        <v>16</v>
      </c>
      <c r="B8" s="5">
        <v>1649000</v>
      </c>
    </row>
    <row r="9" spans="1:2">
      <c r="A9" s="4" t="s">
        <v>169</v>
      </c>
      <c r="B9" s="5">
        <v>36978000</v>
      </c>
    </row>
    <row r="10" spans="1:2">
      <c r="A10" s="4" t="s">
        <v>163</v>
      </c>
      <c r="B10" s="5">
        <v>82.8</v>
      </c>
    </row>
    <row r="11" spans="1:2">
      <c r="A11" s="6" t="s">
        <v>21</v>
      </c>
      <c r="B11" s="7">
        <v>102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6"/>
  <sheetViews>
    <sheetView workbookViewId="0"/>
  </sheetViews>
  <sheetFormatPr defaultColWidth="8.85546875" defaultRowHeight="14.45"/>
  <cols>
    <col min="1" max="1" width="27.7109375" customWidth="1"/>
    <col min="2" max="2" width="12.7109375" customWidth="1"/>
  </cols>
  <sheetData>
    <row r="1" spans="1:2">
      <c r="A1" s="1" t="s">
        <v>170</v>
      </c>
      <c r="B1" s="2" t="s">
        <v>1</v>
      </c>
    </row>
    <row r="2" spans="1:2">
      <c r="A2" s="4" t="s">
        <v>42</v>
      </c>
      <c r="B2" s="5">
        <v>710000</v>
      </c>
    </row>
    <row r="3" spans="1:2">
      <c r="A3" s="4" t="s">
        <v>7</v>
      </c>
      <c r="B3" s="5">
        <v>42000</v>
      </c>
    </row>
    <row r="4" spans="1:2">
      <c r="A4" s="4" t="s">
        <v>16</v>
      </c>
      <c r="B4" s="5">
        <v>315000</v>
      </c>
    </row>
    <row r="5" spans="1:2">
      <c r="A5" s="4" t="s">
        <v>171</v>
      </c>
      <c r="B5" s="5">
        <v>437000</v>
      </c>
    </row>
    <row r="6" spans="1:2">
      <c r="A6" s="6" t="s">
        <v>21</v>
      </c>
      <c r="B6" s="7">
        <v>163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10"/>
  <sheetViews>
    <sheetView workbookViewId="0"/>
  </sheetViews>
  <sheetFormatPr defaultColWidth="8.85546875" defaultRowHeight="14.45"/>
  <cols>
    <col min="1" max="1" width="27.7109375" customWidth="1"/>
    <col min="2" max="2" width="12.7109375" customWidth="1"/>
  </cols>
  <sheetData>
    <row r="1" spans="1:2">
      <c r="A1" s="1" t="s">
        <v>172</v>
      </c>
      <c r="B1" s="2" t="s">
        <v>1</v>
      </c>
    </row>
    <row r="2" spans="1:2">
      <c r="A2" s="4" t="s">
        <v>42</v>
      </c>
      <c r="B2" s="5">
        <v>1473000</v>
      </c>
    </row>
    <row r="3" spans="1:2">
      <c r="A3" s="4" t="s">
        <v>7</v>
      </c>
      <c r="B3" s="5">
        <v>56000</v>
      </c>
    </row>
    <row r="4" spans="1:2">
      <c r="A4" s="4" t="s">
        <v>16</v>
      </c>
      <c r="B4" s="5">
        <v>945000</v>
      </c>
    </row>
    <row r="5" spans="1:2">
      <c r="A5" s="4" t="s">
        <v>171</v>
      </c>
      <c r="B5" s="5">
        <v>805000</v>
      </c>
    </row>
    <row r="6" spans="1:2">
      <c r="A6" s="4" t="s">
        <v>18</v>
      </c>
      <c r="B6" s="5">
        <v>90000</v>
      </c>
    </row>
    <row r="7" spans="1:2">
      <c r="A7" s="4" t="s">
        <v>173</v>
      </c>
      <c r="B7" s="5">
        <v>90000</v>
      </c>
    </row>
    <row r="8" spans="1:2">
      <c r="A8" s="4" t="s">
        <v>174</v>
      </c>
      <c r="B8" s="5">
        <v>0</v>
      </c>
    </row>
    <row r="9" spans="1:2">
      <c r="A9" s="4" t="s">
        <v>94</v>
      </c>
      <c r="B9" s="5">
        <v>-221000</v>
      </c>
    </row>
    <row r="10" spans="1:2">
      <c r="A10" s="6" t="s">
        <v>21</v>
      </c>
      <c r="B10" s="7">
        <v>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11"/>
  <sheetViews>
    <sheetView workbookViewId="0"/>
  </sheetViews>
  <sheetFormatPr defaultColWidth="8.85546875" defaultRowHeight="14.45"/>
  <cols>
    <col min="1" max="1" width="29.7109375" customWidth="1"/>
    <col min="2" max="2" width="12.7109375" customWidth="1"/>
  </cols>
  <sheetData>
    <row r="1" spans="1:2">
      <c r="A1" s="1" t="s">
        <v>175</v>
      </c>
      <c r="B1" s="2" t="s">
        <v>1</v>
      </c>
    </row>
    <row r="2" spans="1:2">
      <c r="A2" s="4" t="s">
        <v>42</v>
      </c>
      <c r="B2" s="5">
        <v>2346000</v>
      </c>
    </row>
    <row r="3" spans="1:2">
      <c r="A3" s="4" t="s">
        <v>7</v>
      </c>
      <c r="B3" s="5">
        <v>48000</v>
      </c>
    </row>
    <row r="4" spans="1:2">
      <c r="A4" s="4" t="s">
        <v>16</v>
      </c>
      <c r="B4" s="5">
        <v>283000</v>
      </c>
    </row>
    <row r="5" spans="1:2">
      <c r="A5" s="4" t="s">
        <v>171</v>
      </c>
      <c r="B5" s="5">
        <v>2096000</v>
      </c>
    </row>
    <row r="6" spans="1:2">
      <c r="A6" s="4" t="s">
        <v>163</v>
      </c>
      <c r="B6" s="5">
        <v>4.7</v>
      </c>
    </row>
    <row r="7" spans="1:2">
      <c r="A7" s="4" t="s">
        <v>18</v>
      </c>
      <c r="B7" s="5">
        <v>135000</v>
      </c>
    </row>
    <row r="8" spans="1:2">
      <c r="A8" s="4" t="s">
        <v>173</v>
      </c>
      <c r="B8" s="5">
        <v>135000</v>
      </c>
    </row>
    <row r="9" spans="1:2">
      <c r="A9" s="4" t="s">
        <v>174</v>
      </c>
      <c r="B9" s="5">
        <v>0</v>
      </c>
    </row>
    <row r="10" spans="1:2">
      <c r="A10" s="4" t="s">
        <v>94</v>
      </c>
      <c r="B10" s="5">
        <v>15000</v>
      </c>
    </row>
    <row r="11" spans="1:2">
      <c r="A11" s="6" t="s">
        <v>21</v>
      </c>
      <c r="B11" s="7">
        <v>112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6"/>
  <sheetViews>
    <sheetView workbookViewId="0"/>
  </sheetViews>
  <sheetFormatPr defaultColWidth="8.85546875" defaultRowHeight="14.45"/>
  <cols>
    <col min="1" max="1" width="27.7109375" customWidth="1"/>
    <col min="2" max="2" width="12.7109375" customWidth="1"/>
  </cols>
  <sheetData>
    <row r="1" spans="1:2">
      <c r="A1" s="1" t="s">
        <v>176</v>
      </c>
      <c r="B1" s="2" t="s">
        <v>1</v>
      </c>
    </row>
    <row r="2" spans="1:2">
      <c r="A2" s="4" t="s">
        <v>42</v>
      </c>
      <c r="B2" s="5">
        <v>2099000</v>
      </c>
    </row>
    <row r="3" spans="1:2">
      <c r="A3" s="4" t="s">
        <v>7</v>
      </c>
      <c r="B3" s="5">
        <v>69000</v>
      </c>
    </row>
    <row r="4" spans="1:2">
      <c r="A4" s="4" t="s">
        <v>16</v>
      </c>
      <c r="B4" s="5">
        <v>638000</v>
      </c>
    </row>
    <row r="5" spans="1:2">
      <c r="A5" s="4" t="s">
        <v>171</v>
      </c>
      <c r="B5" s="5">
        <v>1530000</v>
      </c>
    </row>
    <row r="6" spans="1:2">
      <c r="A6" s="6" t="s">
        <v>21</v>
      </c>
      <c r="B6" s="7">
        <v>137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10"/>
  <sheetViews>
    <sheetView workbookViewId="0"/>
  </sheetViews>
  <sheetFormatPr defaultColWidth="8.85546875" defaultRowHeight="14.45"/>
  <cols>
    <col min="1" max="1" width="30.7109375" customWidth="1"/>
    <col min="2" max="2" width="12.7109375" customWidth="1"/>
  </cols>
  <sheetData>
    <row r="1" spans="1:2">
      <c r="A1" s="1" t="s">
        <v>177</v>
      </c>
      <c r="B1" s="2" t="s">
        <v>1</v>
      </c>
    </row>
    <row r="2" spans="1:2">
      <c r="A2" s="4" t="s">
        <v>178</v>
      </c>
      <c r="B2" s="5">
        <v>44352000</v>
      </c>
    </row>
    <row r="3" spans="1:2">
      <c r="A3" s="4" t="s">
        <v>179</v>
      </c>
      <c r="B3" s="5">
        <v>11000</v>
      </c>
    </row>
    <row r="4" spans="1:2">
      <c r="A4" s="4" t="s">
        <v>180</v>
      </c>
      <c r="B4" s="5">
        <v>352000</v>
      </c>
    </row>
    <row r="5" spans="1:2">
      <c r="A5" s="4" t="s">
        <v>181</v>
      </c>
      <c r="B5" s="5">
        <v>44011000</v>
      </c>
    </row>
    <row r="6" spans="1:2">
      <c r="A6" s="4" t="s">
        <v>182</v>
      </c>
      <c r="B6" s="5">
        <v>1560000</v>
      </c>
    </row>
    <row r="7" spans="1:2">
      <c r="A7" s="4" t="s">
        <v>183</v>
      </c>
      <c r="B7" s="5">
        <v>7309000</v>
      </c>
    </row>
    <row r="8" spans="1:2">
      <c r="A8" s="4" t="s">
        <v>9</v>
      </c>
      <c r="B8" s="5">
        <v>38261000</v>
      </c>
    </row>
    <row r="9" spans="1:2">
      <c r="A9" s="4" t="s">
        <v>184</v>
      </c>
      <c r="B9" s="5">
        <v>68.400000000000006</v>
      </c>
    </row>
    <row r="10" spans="1:2">
      <c r="A10" s="6" t="s">
        <v>185</v>
      </c>
      <c r="B10" s="7">
        <v>116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10"/>
  <sheetViews>
    <sheetView workbookViewId="0"/>
  </sheetViews>
  <sheetFormatPr defaultColWidth="8.85546875" defaultRowHeight="14.45"/>
  <cols>
    <col min="1" max="1" width="29.7109375" customWidth="1"/>
    <col min="2" max="2" width="12.7109375" customWidth="1"/>
  </cols>
  <sheetData>
    <row r="1" spans="1:2">
      <c r="A1" s="1" t="s">
        <v>186</v>
      </c>
      <c r="B1" s="2" t="s">
        <v>1</v>
      </c>
    </row>
    <row r="2" spans="1:2">
      <c r="A2" s="4" t="s">
        <v>178</v>
      </c>
      <c r="B2" s="5">
        <v>7197000</v>
      </c>
    </row>
    <row r="3" spans="1:2">
      <c r="A3" s="4" t="s">
        <v>179</v>
      </c>
      <c r="B3" s="5">
        <v>2000</v>
      </c>
    </row>
    <row r="4" spans="1:2">
      <c r="A4" s="4" t="s">
        <v>180</v>
      </c>
      <c r="B4" s="5">
        <v>236000</v>
      </c>
    </row>
    <row r="5" spans="1:2">
      <c r="A5" s="4" t="s">
        <v>181</v>
      </c>
      <c r="B5" s="5">
        <v>6964000</v>
      </c>
    </row>
    <row r="6" spans="1:2">
      <c r="A6" s="4" t="s">
        <v>182</v>
      </c>
      <c r="B6" s="5">
        <v>387000</v>
      </c>
    </row>
    <row r="7" spans="1:2">
      <c r="A7" s="4" t="s">
        <v>183</v>
      </c>
      <c r="B7" s="5">
        <v>577000</v>
      </c>
    </row>
    <row r="8" spans="1:2">
      <c r="A8" s="4" t="s">
        <v>9</v>
      </c>
      <c r="B8" s="5">
        <v>6774000</v>
      </c>
    </row>
    <row r="9" spans="1:2">
      <c r="A9" s="4" t="s">
        <v>163</v>
      </c>
      <c r="B9" s="5">
        <v>10.6</v>
      </c>
    </row>
    <row r="10" spans="1:2">
      <c r="A10" s="6" t="s">
        <v>185</v>
      </c>
      <c r="B10" s="7">
        <v>106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10"/>
  <sheetViews>
    <sheetView workbookViewId="0"/>
  </sheetViews>
  <sheetFormatPr defaultColWidth="8.85546875" defaultRowHeight="14.45"/>
  <cols>
    <col min="1" max="1" width="29.7109375" customWidth="1"/>
    <col min="2" max="2" width="12.7109375" customWidth="1"/>
  </cols>
  <sheetData>
    <row r="1" spans="1:2">
      <c r="A1" s="1" t="s">
        <v>187</v>
      </c>
      <c r="B1" s="2" t="s">
        <v>1</v>
      </c>
    </row>
    <row r="2" spans="1:2">
      <c r="A2" s="4" t="s">
        <v>178</v>
      </c>
      <c r="B2" s="5">
        <v>23039000</v>
      </c>
    </row>
    <row r="3" spans="1:2">
      <c r="A3" s="4" t="s">
        <v>179</v>
      </c>
      <c r="B3" s="5">
        <v>1000</v>
      </c>
    </row>
    <row r="4" spans="1:2">
      <c r="A4" s="4" t="s">
        <v>180</v>
      </c>
      <c r="B4" s="5">
        <v>43000</v>
      </c>
    </row>
    <row r="5" spans="1:2">
      <c r="A5" s="4" t="s">
        <v>181</v>
      </c>
      <c r="B5" s="5">
        <v>22996000</v>
      </c>
    </row>
    <row r="6" spans="1:2">
      <c r="A6" s="4" t="s">
        <v>182</v>
      </c>
      <c r="B6" s="5">
        <v>162000</v>
      </c>
    </row>
    <row r="7" spans="1:2">
      <c r="A7" s="4" t="s">
        <v>183</v>
      </c>
      <c r="B7" s="5">
        <v>4177000</v>
      </c>
    </row>
    <row r="8" spans="1:2">
      <c r="A8" s="4" t="s">
        <v>9</v>
      </c>
      <c r="B8" s="5">
        <v>18981000</v>
      </c>
    </row>
    <row r="9" spans="1:2">
      <c r="A9" s="4" t="s">
        <v>163</v>
      </c>
      <c r="B9" s="5">
        <v>33.200000000000003</v>
      </c>
    </row>
    <row r="10" spans="1:2">
      <c r="A10" s="6" t="s">
        <v>185</v>
      </c>
      <c r="B10" s="7">
        <v>121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10"/>
  <sheetViews>
    <sheetView workbookViewId="0"/>
  </sheetViews>
  <sheetFormatPr defaultColWidth="8.85546875" defaultRowHeight="14.45"/>
  <cols>
    <col min="1" max="1" width="29.7109375" customWidth="1"/>
    <col min="2" max="2" width="12.7109375" customWidth="1"/>
  </cols>
  <sheetData>
    <row r="1" spans="1:2">
      <c r="A1" s="1" t="s">
        <v>188</v>
      </c>
      <c r="B1" s="2" t="s">
        <v>1</v>
      </c>
    </row>
    <row r="2" spans="1:2">
      <c r="A2" s="4" t="s">
        <v>178</v>
      </c>
      <c r="B2" s="5">
        <v>13470000</v>
      </c>
    </row>
    <row r="3" spans="1:2">
      <c r="A3" s="4" t="s">
        <v>179</v>
      </c>
      <c r="B3" s="5">
        <v>3000</v>
      </c>
    </row>
    <row r="4" spans="1:2">
      <c r="A4" s="4" t="s">
        <v>180</v>
      </c>
      <c r="B4" s="5">
        <v>10000</v>
      </c>
    </row>
    <row r="5" spans="1:2">
      <c r="A5" s="4" t="s">
        <v>181</v>
      </c>
      <c r="B5" s="5">
        <v>13463000</v>
      </c>
    </row>
    <row r="6" spans="1:2">
      <c r="A6" s="4" t="s">
        <v>182</v>
      </c>
      <c r="B6" s="5">
        <v>849000</v>
      </c>
    </row>
    <row r="7" spans="1:2">
      <c r="A7" s="4" t="s">
        <v>183</v>
      </c>
      <c r="B7" s="5">
        <v>2499000</v>
      </c>
    </row>
    <row r="8" spans="1:2">
      <c r="A8" s="4" t="s">
        <v>9</v>
      </c>
      <c r="B8" s="5">
        <v>11813000</v>
      </c>
    </row>
    <row r="9" spans="1:2">
      <c r="A9" s="4" t="s">
        <v>163</v>
      </c>
      <c r="B9" s="5">
        <v>23.3</v>
      </c>
    </row>
    <row r="10" spans="1:2">
      <c r="A10" s="6" t="s">
        <v>185</v>
      </c>
      <c r="B10" s="7">
        <v>114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21"/>
  <sheetViews>
    <sheetView workbookViewId="0">
      <selection activeCell="K15" sqref="K15"/>
    </sheetView>
  </sheetViews>
  <sheetFormatPr defaultColWidth="8.85546875" defaultRowHeight="14.45"/>
  <cols>
    <col min="1" max="2" width="25.7109375" customWidth="1"/>
    <col min="3" max="9" width="0" hidden="1" customWidth="1"/>
  </cols>
  <sheetData>
    <row r="1" spans="1:9" ht="15" thickBot="1">
      <c r="A1" s="9" t="s">
        <v>189</v>
      </c>
      <c r="B1" s="10" t="s">
        <v>190</v>
      </c>
    </row>
    <row r="2" spans="1:9">
      <c r="A2" s="1" t="s">
        <v>2</v>
      </c>
      <c r="B2" s="3">
        <f>SUM(C2:I2)</f>
        <v>31941000</v>
      </c>
      <c r="C2">
        <f>IFERROR(VLOOKUP($A2,'1.2 EU Soft Wheat'!$A:$B,2,FALSE),"")</f>
        <v>21916000</v>
      </c>
      <c r="D2">
        <f>IFERROR(VLOOKUP($A2,'1.3 EU Durum Wheat'!$A:$B,2,FALSE),"")</f>
        <v>2317000</v>
      </c>
      <c r="E2">
        <f>IFERROR(VLOOKUP($A2,'1.6 EU Rye'!$A:$B,2,FALSE),"")</f>
        <v>1859000</v>
      </c>
      <c r="F2">
        <f>IFERROR(VLOOKUP($A2,'1.7 EU Sorghum'!$A:$B,2,FALSE),"")</f>
        <v>156000</v>
      </c>
      <c r="G2">
        <f>IFERROR(VLOOKUP($A2,'1.8 EU Oats'!$A:$B,2,FALSE),"")</f>
        <v>2305000</v>
      </c>
      <c r="H2">
        <f>IFERROR(VLOOKUP($A2,'1.9 EU Triticale'!$A:$B,2,FALSE),"")</f>
        <v>2551000</v>
      </c>
      <c r="I2">
        <f>IFERROR(VLOOKUP($A2,'1.10 EU Other Cereals'!$A:$B,2,FALSE),"")</f>
        <v>837000</v>
      </c>
    </row>
    <row r="3" spans="1:9" ht="15" thickBot="1">
      <c r="A3" s="6" t="s">
        <v>3</v>
      </c>
      <c r="B3" s="14">
        <f>IFERROR(AVERAGE(C3:I3),"")</f>
        <v>4.0142857142857142</v>
      </c>
      <c r="C3">
        <f>IFERROR(VLOOKUP($A3,'1.2 EU Soft Wheat'!$A:$B,2,FALSE),"")</f>
        <v>5.8</v>
      </c>
      <c r="D3">
        <f>IFERROR(VLOOKUP($A3,'1.3 EU Durum Wheat'!$A:$B,2,FALSE),"")</f>
        <v>3.2</v>
      </c>
      <c r="E3">
        <f>IFERROR(VLOOKUP($A3,'1.6 EU Rye'!$A:$B,2,FALSE),"")</f>
        <v>4.0999999999999996</v>
      </c>
      <c r="F3">
        <f>IFERROR(VLOOKUP($A3,'1.7 EU Sorghum'!$A:$B,2,FALSE),"")</f>
        <v>5.3</v>
      </c>
      <c r="G3">
        <f>IFERROR(VLOOKUP($A3,'1.8 EU Oats'!$A:$B,2,FALSE),"")</f>
        <v>2.6</v>
      </c>
      <c r="H3">
        <f>IFERROR(VLOOKUP($A3,'1.9 EU Triticale'!$A:$B,2,FALSE),"")</f>
        <v>4.3</v>
      </c>
      <c r="I3">
        <f>IFERROR(VLOOKUP($A3,'1.10 EU Other Cereals'!$A:$B,2,FALSE),"")</f>
        <v>2.8</v>
      </c>
    </row>
    <row r="4" spans="1:9">
      <c r="A4" s="1" t="s">
        <v>4</v>
      </c>
      <c r="B4" s="3">
        <f t="shared" ref="B4:B20" si="0">SUM(C4:I4)</f>
        <v>25000000</v>
      </c>
      <c r="C4">
        <f>IFERROR(VLOOKUP($A4,'1.2 EU Soft Wheat'!$A:$B,2,FALSE),"")</f>
        <v>19500000</v>
      </c>
      <c r="D4">
        <f>IFERROR(VLOOKUP($A4,'1.3 EU Durum Wheat'!$A:$B,2,FALSE),"")</f>
        <v>800000</v>
      </c>
      <c r="E4">
        <f>IFERROR(VLOOKUP($A4,'1.6 EU Rye'!$A:$B,2,FALSE),"")</f>
        <v>1000000</v>
      </c>
      <c r="F4">
        <f>IFERROR(VLOOKUP($A4,'1.7 EU Sorghum'!$A:$B,2,FALSE),"")</f>
        <v>500000</v>
      </c>
      <c r="G4">
        <f>IFERROR(VLOOKUP($A4,'1.8 EU Oats'!$A:$B,2,FALSE),"")</f>
        <v>1300000</v>
      </c>
      <c r="H4">
        <f>IFERROR(VLOOKUP($A4,'1.9 EU Triticale'!$A:$B,2,FALSE),"")</f>
        <v>1600000</v>
      </c>
      <c r="I4">
        <f>IFERROR(VLOOKUP($A4,'1.10 EU Other Cereals'!$A:$B,2,FALSE),"")</f>
        <v>300000</v>
      </c>
    </row>
    <row r="5" spans="1:9">
      <c r="A5" s="4" t="s">
        <v>5</v>
      </c>
      <c r="B5" s="5">
        <f t="shared" si="0"/>
        <v>161300000</v>
      </c>
      <c r="C5">
        <f>IFERROR(VLOOKUP($A5,'1.2 EU Soft Wheat'!$A:$B,2,FALSE),"")</f>
        <v>126200000</v>
      </c>
      <c r="D5">
        <f>IFERROR(VLOOKUP($A5,'1.3 EU Durum Wheat'!$A:$B,2,FALSE),"")</f>
        <v>7500000</v>
      </c>
      <c r="E5">
        <f>IFERROR(VLOOKUP($A5,'1.6 EU Rye'!$A:$B,2,FALSE),"")</f>
        <v>7600000</v>
      </c>
      <c r="F5">
        <f>IFERROR(VLOOKUP($A5,'1.7 EU Sorghum'!$A:$B,2,FALSE),"")</f>
        <v>800000</v>
      </c>
      <c r="G5">
        <f>IFERROR(VLOOKUP($A5,'1.8 EU Oats'!$A:$B,2,FALSE),"")</f>
        <v>5900000</v>
      </c>
      <c r="H5">
        <f>IFERROR(VLOOKUP($A5,'1.9 EU Triticale'!$A:$B,2,FALSE),"")</f>
        <v>11000000</v>
      </c>
      <c r="I5">
        <f>IFERROR(VLOOKUP($A5,'1.10 EU Other Cereals'!$A:$B,2,FALSE),"")</f>
        <v>2300000</v>
      </c>
    </row>
    <row r="6" spans="1:9">
      <c r="A6" s="4" t="s">
        <v>6</v>
      </c>
      <c r="B6" s="5">
        <f t="shared" si="0"/>
        <v>159500000</v>
      </c>
      <c r="C6">
        <f>IFERROR(VLOOKUP($A6,'1.2 EU Soft Wheat'!$A:$B,2,FALSE),"")</f>
        <v>125200000</v>
      </c>
      <c r="D6">
        <f>IFERROR(VLOOKUP($A6,'1.3 EU Durum Wheat'!$A:$B,2,FALSE),"")</f>
        <v>7400000</v>
      </c>
      <c r="E6">
        <f>IFERROR(VLOOKUP($A6,'1.6 EU Rye'!$A:$B,2,FALSE),"")</f>
        <v>7400000</v>
      </c>
      <c r="F6">
        <f>IFERROR(VLOOKUP($A6,'1.7 EU Sorghum'!$A:$B,2,FALSE),"")</f>
        <v>800000</v>
      </c>
      <c r="G6">
        <f>IFERROR(VLOOKUP($A6,'1.8 EU Oats'!$A:$B,2,FALSE),"")</f>
        <v>5800000</v>
      </c>
      <c r="H6">
        <f>IFERROR(VLOOKUP($A6,'1.9 EU Triticale'!$A:$B,2,FALSE),"")</f>
        <v>10700000</v>
      </c>
      <c r="I6">
        <f>IFERROR(VLOOKUP($A6,'1.10 EU Other Cereals'!$A:$B,2,FALSE),"")</f>
        <v>2200000</v>
      </c>
    </row>
    <row r="7" spans="1:9">
      <c r="A7" s="4" t="s">
        <v>7</v>
      </c>
      <c r="B7" s="5">
        <f t="shared" si="0"/>
        <v>12500000</v>
      </c>
      <c r="C7">
        <f>IFERROR(VLOOKUP($A7,'1.2 EU Soft Wheat'!$A:$B,2,FALSE),"")</f>
        <v>9600000</v>
      </c>
      <c r="D7">
        <f>IFERROR(VLOOKUP($A7,'1.3 EU Durum Wheat'!$A:$B,2,FALSE),"")</f>
        <v>2500000</v>
      </c>
      <c r="E7">
        <f>IFERROR(VLOOKUP($A7,'1.6 EU Rye'!$A:$B,2,FALSE),"")</f>
        <v>200000</v>
      </c>
      <c r="F7">
        <f>IFERROR(VLOOKUP($A7,'1.7 EU Sorghum'!$A:$B,2,FALSE),"")</f>
        <v>0</v>
      </c>
      <c r="G7">
        <f>IFERROR(VLOOKUP($A7,'1.8 EU Oats'!$A:$B,2,FALSE),"")</f>
        <v>100000</v>
      </c>
      <c r="H7">
        <f>IFERROR(VLOOKUP($A7,'1.9 EU Triticale'!$A:$B,2,FALSE),"")</f>
        <v>0</v>
      </c>
      <c r="I7">
        <f>IFERROR(VLOOKUP($A7,'1.10 EU Other Cereals'!$A:$B,2,FALSE),"")</f>
        <v>100000</v>
      </c>
    </row>
    <row r="8" spans="1:9" ht="15" thickBot="1">
      <c r="A8" s="6" t="s">
        <v>8</v>
      </c>
      <c r="B8" s="7">
        <f t="shared" si="0"/>
        <v>197200000</v>
      </c>
      <c r="C8">
        <f>IFERROR(VLOOKUP($A8,'1.2 EU Soft Wheat'!$A:$B,2,FALSE),"")</f>
        <v>154300000</v>
      </c>
      <c r="D8">
        <f>IFERROR(VLOOKUP($A8,'1.3 EU Durum Wheat'!$A:$B,2,FALSE),"")</f>
        <v>10700000</v>
      </c>
      <c r="E8">
        <f>IFERROR(VLOOKUP($A8,'1.6 EU Rye'!$A:$B,2,FALSE),"")</f>
        <v>8600000</v>
      </c>
      <c r="F8">
        <f>IFERROR(VLOOKUP($A8,'1.7 EU Sorghum'!$A:$B,2,FALSE),"")</f>
        <v>1300000</v>
      </c>
      <c r="G8">
        <f>IFERROR(VLOOKUP($A8,'1.8 EU Oats'!$A:$B,2,FALSE),"")</f>
        <v>7300000</v>
      </c>
      <c r="H8">
        <f>IFERROR(VLOOKUP($A8,'1.9 EU Triticale'!$A:$B,2,FALSE),"")</f>
        <v>12300000</v>
      </c>
      <c r="I8">
        <f>IFERROR(VLOOKUP($A8,'1.10 EU Other Cereals'!$A:$B,2,FALSE),"")</f>
        <v>2700000</v>
      </c>
    </row>
    <row r="9" spans="1:9">
      <c r="A9" s="1" t="s">
        <v>9</v>
      </c>
      <c r="B9" s="3">
        <f t="shared" si="0"/>
        <v>138800000</v>
      </c>
      <c r="C9">
        <f>IFERROR(VLOOKUP($A9,'1.2 EU Soft Wheat'!$A:$B,2,FALSE),"")</f>
        <v>101400000</v>
      </c>
      <c r="D9">
        <f>IFERROR(VLOOKUP($A9,'1.3 EU Durum Wheat'!$A:$B,2,FALSE),"")</f>
        <v>9000000</v>
      </c>
      <c r="E9">
        <f>IFERROR(VLOOKUP($A9,'1.6 EU Rye'!$A:$B,2,FALSE),"")</f>
        <v>7500000</v>
      </c>
      <c r="F9">
        <f>IFERROR(VLOOKUP($A9,'1.7 EU Sorghum'!$A:$B,2,FALSE),"")</f>
        <v>1100000</v>
      </c>
      <c r="G9">
        <f>IFERROR(VLOOKUP($A9,'1.8 EU Oats'!$A:$B,2,FALSE),"")</f>
        <v>6400000</v>
      </c>
      <c r="H9">
        <f>IFERROR(VLOOKUP($A9,'1.9 EU Triticale'!$A:$B,2,FALSE),"")</f>
        <v>11000000</v>
      </c>
      <c r="I9">
        <f>IFERROR(VLOOKUP($A9,'1.10 EU Other Cereals'!$A:$B,2,FALSE),"")</f>
        <v>2400000</v>
      </c>
    </row>
    <row r="10" spans="1:9">
      <c r="A10" s="4" t="s">
        <v>10</v>
      </c>
      <c r="B10" s="5">
        <f t="shared" si="0"/>
        <v>54500000</v>
      </c>
      <c r="C10">
        <f>IFERROR(VLOOKUP($A10,'1.2 EU Soft Wheat'!$A:$B,2,FALSE),"")</f>
        <v>41800000</v>
      </c>
      <c r="D10">
        <f>IFERROR(VLOOKUP($A10,'1.3 EU Durum Wheat'!$A:$B,2,FALSE),"")</f>
        <v>8199999.9999999991</v>
      </c>
      <c r="E10">
        <f>IFERROR(VLOOKUP($A10,'1.6 EU Rye'!$A:$B,2,FALSE),"")</f>
        <v>3100000</v>
      </c>
      <c r="F10">
        <f>IFERROR(VLOOKUP($A10,'1.7 EU Sorghum'!$A:$B,2,FALSE),"")</f>
        <v>200000</v>
      </c>
      <c r="G10">
        <f>IFERROR(VLOOKUP($A10,'1.8 EU Oats'!$A:$B,2,FALSE),"")</f>
        <v>1100000</v>
      </c>
      <c r="H10">
        <f>IFERROR(VLOOKUP($A10,'1.9 EU Triticale'!$A:$B,2,FALSE),"")</f>
        <v>100000</v>
      </c>
      <c r="I10">
        <f>IFERROR(VLOOKUP($A10,'1.10 EU Other Cereals'!$A:$B,2,FALSE),"")</f>
        <v>0</v>
      </c>
    </row>
    <row r="11" spans="1:9">
      <c r="A11" s="4" t="s">
        <v>11</v>
      </c>
      <c r="B11" s="5">
        <f t="shared" si="0"/>
        <v>6500000</v>
      </c>
      <c r="C11">
        <f>IFERROR(VLOOKUP($A11,'1.2 EU Soft Wheat'!$A:$B,2,FALSE),"")</f>
        <v>4600000</v>
      </c>
      <c r="D11">
        <f>IFERROR(VLOOKUP($A11,'1.3 EU Durum Wheat'!$A:$B,2,FALSE),"")</f>
        <v>400000</v>
      </c>
      <c r="E11">
        <f>IFERROR(VLOOKUP($A11,'1.6 EU Rye'!$A:$B,2,FALSE),"")</f>
        <v>300000</v>
      </c>
      <c r="F11">
        <f>IFERROR(VLOOKUP($A11,'1.7 EU Sorghum'!$A:$B,2,FALSE),"")</f>
        <v>0</v>
      </c>
      <c r="G11">
        <f>IFERROR(VLOOKUP($A11,'1.8 EU Oats'!$A:$B,2,FALSE),"")</f>
        <v>400000</v>
      </c>
      <c r="H11">
        <f>IFERROR(VLOOKUP($A11,'1.9 EU Triticale'!$A:$B,2,FALSE),"")</f>
        <v>500000</v>
      </c>
      <c r="I11">
        <f>IFERROR(VLOOKUP($A11,'1.10 EU Other Cereals'!$A:$B,2,FALSE),"")</f>
        <v>300000</v>
      </c>
    </row>
    <row r="12" spans="1:9">
      <c r="A12" s="4" t="s">
        <v>12</v>
      </c>
      <c r="B12" s="5">
        <f t="shared" si="0"/>
        <v>11500000</v>
      </c>
      <c r="C12">
        <f>IFERROR(VLOOKUP($A12,'1.2 EU Soft Wheat'!$A:$B,2,FALSE),"")</f>
        <v>9200000</v>
      </c>
      <c r="D12">
        <f>IFERROR(VLOOKUP($A12,'1.3 EU Durum Wheat'!$A:$B,2,FALSE),"")</f>
        <v>100000</v>
      </c>
      <c r="E12">
        <f>IFERROR(VLOOKUP($A12,'1.6 EU Rye'!$A:$B,2,FALSE),"")</f>
        <v>1500000</v>
      </c>
      <c r="F12">
        <f>IFERROR(VLOOKUP($A12,'1.7 EU Sorghum'!$A:$B,2,FALSE),"")</f>
        <v>0</v>
      </c>
      <c r="G12">
        <f>IFERROR(VLOOKUP($A12,'1.8 EU Oats'!$A:$B,2,FALSE),"")</f>
        <v>100000</v>
      </c>
      <c r="H12">
        <f>IFERROR(VLOOKUP($A12,'1.9 EU Triticale'!$A:$B,2,FALSE),"")</f>
        <v>400000</v>
      </c>
      <c r="I12">
        <f>IFERROR(VLOOKUP($A12,'1.10 EU Other Cereals'!$A:$B,2,FALSE),"")</f>
        <v>200000</v>
      </c>
    </row>
    <row r="13" spans="1:9">
      <c r="A13" s="4" t="s">
        <v>13</v>
      </c>
      <c r="B13" s="5">
        <f t="shared" si="0"/>
        <v>4300000</v>
      </c>
      <c r="C13">
        <f>IFERROR(VLOOKUP($A13,'1.2 EU Soft Wheat'!$A:$B,2,FALSE),"")</f>
        <v>3400000</v>
      </c>
      <c r="D13" t="str">
        <f>IFERROR(VLOOKUP($A13,'1.3 EU Durum Wheat'!$A:$B,2,FALSE),"")</f>
        <v/>
      </c>
      <c r="E13">
        <f>IFERROR(VLOOKUP($A13,'1.6 EU Rye'!$A:$B,2,FALSE),"")</f>
        <v>900000</v>
      </c>
      <c r="F13" t="str">
        <f>IFERROR(VLOOKUP($A13,'1.7 EU Sorghum'!$A:$B,2,FALSE),"")</f>
        <v/>
      </c>
      <c r="G13" t="str">
        <f>IFERROR(VLOOKUP($A13,'1.8 EU Oats'!$A:$B,2,FALSE),"")</f>
        <v/>
      </c>
      <c r="H13">
        <f>IFERROR(VLOOKUP($A13,'1.9 EU Triticale'!$A:$B,2,FALSE),"")</f>
        <v>0</v>
      </c>
      <c r="I13" t="str">
        <f>IFERROR(VLOOKUP($A13,'1.10 EU Other Cereals'!$A:$B,2,FALSE),"")</f>
        <v/>
      </c>
    </row>
    <row r="14" spans="1:9">
      <c r="A14" s="4" t="s">
        <v>14</v>
      </c>
      <c r="B14" s="5">
        <f t="shared" si="0"/>
        <v>66500000</v>
      </c>
      <c r="C14">
        <f>IFERROR(VLOOKUP($A14,'1.2 EU Soft Wheat'!$A:$B,2,FALSE),"")</f>
        <v>45800000</v>
      </c>
      <c r="D14">
        <f>IFERROR(VLOOKUP($A14,'1.3 EU Durum Wheat'!$A:$B,2,FALSE),"")</f>
        <v>300000</v>
      </c>
      <c r="E14">
        <f>IFERROR(VLOOKUP($A14,'1.6 EU Rye'!$A:$B,2,FALSE),"")</f>
        <v>2700000</v>
      </c>
      <c r="F14">
        <f>IFERROR(VLOOKUP($A14,'1.7 EU Sorghum'!$A:$B,2,FALSE),"")</f>
        <v>900000</v>
      </c>
      <c r="G14">
        <f>IFERROR(VLOOKUP($A14,'1.8 EU Oats'!$A:$B,2,FALSE),"")</f>
        <v>4800000</v>
      </c>
      <c r="H14">
        <f>IFERROR(VLOOKUP($A14,'1.9 EU Triticale'!$A:$B,2,FALSE),"")</f>
        <v>10000000</v>
      </c>
      <c r="I14">
        <f>IFERROR(VLOOKUP($A14,'1.10 EU Other Cereals'!$A:$B,2,FALSE),"")</f>
        <v>2000000</v>
      </c>
    </row>
    <row r="15" spans="1:9">
      <c r="A15" s="4" t="s">
        <v>15</v>
      </c>
      <c r="B15" s="5">
        <f t="shared" si="0"/>
        <v>900000</v>
      </c>
      <c r="C15">
        <f>IFERROR(VLOOKUP($A15,'1.2 EU Soft Wheat'!$A:$B,2,FALSE),"")</f>
        <v>800000</v>
      </c>
      <c r="D15">
        <f>IFERROR(VLOOKUP($A15,'1.3 EU Durum Wheat'!$A:$B,2,FALSE),"")</f>
        <v>0</v>
      </c>
      <c r="E15">
        <f>IFERROR(VLOOKUP($A15,'1.6 EU Rye'!$A:$B,2,FALSE),"")</f>
        <v>0</v>
      </c>
      <c r="F15">
        <f>IFERROR(VLOOKUP($A15,'1.7 EU Sorghum'!$A:$B,2,FALSE),"")</f>
        <v>0</v>
      </c>
      <c r="G15">
        <f>IFERROR(VLOOKUP($A15,'1.8 EU Oats'!$A:$B,2,FALSE),"")</f>
        <v>0</v>
      </c>
      <c r="H15">
        <f>IFERROR(VLOOKUP($A15,'1.9 EU Triticale'!$A:$B,2,FALSE),"")</f>
        <v>100000</v>
      </c>
      <c r="I15">
        <f>IFERROR(VLOOKUP($A15,'1.10 EU Other Cereals'!$A:$B,2,FALSE),"")</f>
        <v>0</v>
      </c>
    </row>
    <row r="16" spans="1:9">
      <c r="A16" s="4" t="s">
        <v>16</v>
      </c>
      <c r="B16" s="5">
        <f t="shared" si="0"/>
        <v>36900000</v>
      </c>
      <c r="C16">
        <f>IFERROR(VLOOKUP($A16,'1.2 EU Soft Wheat'!$A:$B,2,FALSE),"")</f>
        <v>35400000</v>
      </c>
      <c r="D16">
        <f>IFERROR(VLOOKUP($A16,'1.3 EU Durum Wheat'!$A:$B,2,FALSE),"")</f>
        <v>1100000</v>
      </c>
      <c r="E16">
        <f>IFERROR(VLOOKUP($A16,'1.6 EU Rye'!$A:$B,2,FALSE),"")</f>
        <v>300000</v>
      </c>
      <c r="F16">
        <f>IFERROR(VLOOKUP($A16,'1.7 EU Sorghum'!$A:$B,2,FALSE),"")</f>
        <v>0</v>
      </c>
      <c r="G16">
        <f>IFERROR(VLOOKUP($A16,'1.8 EU Oats'!$A:$B,2,FALSE),"")</f>
        <v>100000</v>
      </c>
      <c r="H16">
        <f>IFERROR(VLOOKUP($A16,'1.9 EU Triticale'!$A:$B,2,FALSE),"")</f>
        <v>0</v>
      </c>
      <c r="I16">
        <f>IFERROR(VLOOKUP($A16,'1.10 EU Other Cereals'!$A:$B,2,FALSE),"")</f>
        <v>0</v>
      </c>
    </row>
    <row r="17" spans="1:9" ht="15" thickBot="1">
      <c r="A17" s="6" t="s">
        <v>17</v>
      </c>
      <c r="B17" s="7">
        <f t="shared" si="0"/>
        <v>176600000</v>
      </c>
      <c r="C17">
        <f>IFERROR(VLOOKUP($A17,'1.2 EU Soft Wheat'!$A:$B,2,FALSE),"")</f>
        <v>137500000</v>
      </c>
      <c r="D17">
        <f>IFERROR(VLOOKUP($A17,'1.3 EU Durum Wheat'!$A:$B,2,FALSE),"")</f>
        <v>10100000</v>
      </c>
      <c r="E17">
        <f>IFERROR(VLOOKUP($A17,'1.6 EU Rye'!$A:$B,2,FALSE),"")</f>
        <v>7800000</v>
      </c>
      <c r="F17">
        <f>IFERROR(VLOOKUP($A17,'1.7 EU Sorghum'!$A:$B,2,FALSE),"")</f>
        <v>1100000</v>
      </c>
      <c r="G17">
        <f>IFERROR(VLOOKUP($A17,'1.8 EU Oats'!$A:$B,2,FALSE),"")</f>
        <v>6500000</v>
      </c>
      <c r="H17">
        <f>IFERROR(VLOOKUP($A17,'1.9 EU Triticale'!$A:$B,2,FALSE),"")</f>
        <v>11100000</v>
      </c>
      <c r="I17">
        <f>IFERROR(VLOOKUP($A17,'1.10 EU Other Cereals'!$A:$B,2,FALSE),"")</f>
        <v>2500000</v>
      </c>
    </row>
    <row r="18" spans="1:9">
      <c r="A18" s="1" t="s">
        <v>18</v>
      </c>
      <c r="B18" s="3">
        <f t="shared" si="0"/>
        <v>20600000</v>
      </c>
      <c r="C18">
        <f>IFERROR(VLOOKUP($A18,'1.2 EU Soft Wheat'!$A:$B,2,FALSE),"")</f>
        <v>16800000</v>
      </c>
      <c r="D18">
        <f>IFERROR(VLOOKUP($A18,'1.3 EU Durum Wheat'!$A:$B,2,FALSE),"")</f>
        <v>700000</v>
      </c>
      <c r="E18">
        <f>IFERROR(VLOOKUP($A18,'1.6 EU Rye'!$A:$B,2,FALSE),"")</f>
        <v>700000</v>
      </c>
      <c r="F18">
        <f>IFERROR(VLOOKUP($A18,'1.7 EU Sorghum'!$A:$B,2,FALSE),"")</f>
        <v>200000</v>
      </c>
      <c r="G18">
        <f>IFERROR(VLOOKUP($A18,'1.8 EU Oats'!$A:$B,2,FALSE),"")</f>
        <v>700000</v>
      </c>
      <c r="H18">
        <f>IFERROR(VLOOKUP($A18,'1.9 EU Triticale'!$A:$B,2,FALSE),"")</f>
        <v>1300000</v>
      </c>
      <c r="I18">
        <f>IFERROR(VLOOKUP($A18,'1.10 EU Other Cereals'!$A:$B,2,FALSE),"")</f>
        <v>200000</v>
      </c>
    </row>
    <row r="19" spans="1:9">
      <c r="A19" s="4" t="s">
        <v>19</v>
      </c>
      <c r="B19" s="5">
        <f t="shared" si="0"/>
        <v>20600000</v>
      </c>
      <c r="C19">
        <f>IFERROR(VLOOKUP($A19,'1.2 EU Soft Wheat'!$A:$B,2,FALSE),"")</f>
        <v>16800000</v>
      </c>
      <c r="D19">
        <f>IFERROR(VLOOKUP($A19,'1.3 EU Durum Wheat'!$A:$B,2,FALSE),"")</f>
        <v>700000</v>
      </c>
      <c r="E19">
        <f>IFERROR(VLOOKUP($A19,'1.6 EU Rye'!$A:$B,2,FALSE),"")</f>
        <v>700000</v>
      </c>
      <c r="F19">
        <f>IFERROR(VLOOKUP($A19,'1.7 EU Sorghum'!$A:$B,2,FALSE),"")</f>
        <v>200000</v>
      </c>
      <c r="G19">
        <f>IFERROR(VLOOKUP($A19,'1.8 EU Oats'!$A:$B,2,FALSE),"")</f>
        <v>700000</v>
      </c>
      <c r="H19">
        <f>IFERROR(VLOOKUP($A19,'1.9 EU Triticale'!$A:$B,2,FALSE),"")</f>
        <v>1300000</v>
      </c>
      <c r="I19">
        <f>IFERROR(VLOOKUP($A19,'1.10 EU Other Cereals'!$A:$B,2,FALSE),"")</f>
        <v>200000</v>
      </c>
    </row>
    <row r="20" spans="1:9">
      <c r="A20" s="4" t="s">
        <v>20</v>
      </c>
      <c r="B20" s="8">
        <f t="shared" si="0"/>
        <v>0</v>
      </c>
      <c r="C20">
        <f>IFERROR(VLOOKUP($A20,'1.2 EU Soft Wheat'!$A:$B,2,FALSE),"")</f>
        <v>0</v>
      </c>
      <c r="D20" t="str">
        <f>IFERROR(VLOOKUP($A20,'1.3 EU Durum Wheat'!$A:$B,2,FALSE),"")</f>
        <v/>
      </c>
      <c r="E20">
        <f>IFERROR(VLOOKUP($A20,'1.6 EU Rye'!$A:$B,2,FALSE),"")</f>
        <v>0</v>
      </c>
      <c r="F20" t="str">
        <f>IFERROR(VLOOKUP($A20,'1.7 EU Sorghum'!$A:$B,2,FALSE),"")</f>
        <v/>
      </c>
      <c r="G20" t="str">
        <f>IFERROR(VLOOKUP($A20,'1.8 EU Oats'!$A:$B,2,FALSE),"")</f>
        <v/>
      </c>
      <c r="H20" t="str">
        <f>IFERROR(VLOOKUP($A20,'1.9 EU Triticale'!$A:$B,2,FALSE),"")</f>
        <v/>
      </c>
      <c r="I20" t="str">
        <f>IFERROR(VLOOKUP($A20,'1.10 EU Other Cereals'!$A:$B,2,FALSE),"")</f>
        <v/>
      </c>
    </row>
    <row r="21" spans="1:9" ht="15" thickBot="1">
      <c r="A21" s="6" t="s">
        <v>21</v>
      </c>
      <c r="B21" s="15">
        <f>IFERROR(AVERAGE(C21:I21),"")</f>
        <v>93.714285714285708</v>
      </c>
      <c r="C21">
        <f>IFERROR(VLOOKUP($A21,'1.2 EU Soft Wheat'!$A:$B,2,FALSE),"")</f>
        <v>124</v>
      </c>
      <c r="D21">
        <f>IFERROR(VLOOKUP($A21,'1.3 EU Durum Wheat'!$A:$B,2,FALSE),"")</f>
        <v>83</v>
      </c>
      <c r="E21">
        <f>IFERROR(VLOOKUP($A21,'1.6 EU Rye'!$A:$B,2,FALSE),"")</f>
        <v>98</v>
      </c>
      <c r="F21">
        <f>IFERROR(VLOOKUP($A21,'1.7 EU Sorghum'!$A:$B,2,FALSE),"")</f>
        <v>71</v>
      </c>
      <c r="G21">
        <f>IFERROR(VLOOKUP($A21,'1.8 EU Oats'!$A:$B,2,FALSE),"")</f>
        <v>91</v>
      </c>
      <c r="H21">
        <f>IFERROR(VLOOKUP($A21,'1.9 EU Triticale'!$A:$B,2,FALSE),"")</f>
        <v>98</v>
      </c>
      <c r="I21">
        <f>IFERROR(VLOOKUP($A21,'1.10 EU Other Cereals'!$A:$B,2,FALSE),"")</f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4b2k2jbf6y@goetheuniversitaet.onmicrosoft.com</cp:lastModifiedBy>
  <cp:revision/>
  <dcterms:created xsi:type="dcterms:W3CDTF">2025-09-27T12:14:49Z</dcterms:created>
  <dcterms:modified xsi:type="dcterms:W3CDTF">2026-03-08T18:36:54Z</dcterms:modified>
  <cp:category/>
  <cp:contentStatus/>
</cp:coreProperties>
</file>